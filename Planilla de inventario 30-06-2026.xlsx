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alf\Desktop\"/>
    </mc:Choice>
  </mc:AlternateContent>
  <xr:revisionPtr revIDLastSave="0" documentId="13_ncr:1_{04C5C0CC-4A9C-4A27-91FF-64B697A43D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6" i="1" l="1"/>
  <c r="G476" i="1"/>
  <c r="I354" i="1"/>
  <c r="I355" i="1"/>
  <c r="G354" i="1"/>
  <c r="G355" i="1"/>
  <c r="G331" i="1"/>
  <c r="G330" i="1"/>
  <c r="I331" i="1"/>
  <c r="I330" i="1"/>
  <c r="E576" i="1"/>
  <c r="I533" i="1"/>
  <c r="G533" i="1"/>
  <c r="I532" i="1"/>
  <c r="G532" i="1"/>
  <c r="E586" i="1" s="1"/>
  <c r="I531" i="1"/>
  <c r="G531" i="1"/>
  <c r="I530" i="1"/>
  <c r="G530" i="1"/>
  <c r="I529" i="1"/>
  <c r="G529" i="1"/>
  <c r="I528" i="1"/>
  <c r="G528" i="1"/>
  <c r="I527" i="1"/>
  <c r="G527" i="1"/>
  <c r="I526" i="1"/>
  <c r="G526" i="1"/>
  <c r="E587" i="1" s="1"/>
  <c r="I525" i="1"/>
  <c r="G525" i="1"/>
  <c r="I524" i="1"/>
  <c r="G524" i="1"/>
  <c r="I523" i="1"/>
  <c r="G523" i="1"/>
  <c r="I522" i="1"/>
  <c r="G522" i="1"/>
  <c r="I521" i="1"/>
  <c r="G521" i="1"/>
  <c r="I520" i="1"/>
  <c r="G520" i="1"/>
  <c r="I519" i="1"/>
  <c r="G519" i="1"/>
  <c r="I518" i="1"/>
  <c r="G518" i="1"/>
  <c r="I517" i="1"/>
  <c r="G517" i="1"/>
  <c r="I516" i="1"/>
  <c r="G516" i="1"/>
  <c r="I515" i="1"/>
  <c r="G515" i="1"/>
  <c r="I514" i="1"/>
  <c r="G514" i="1"/>
  <c r="I513" i="1"/>
  <c r="G513" i="1"/>
  <c r="I512" i="1"/>
  <c r="G512" i="1"/>
  <c r="I511" i="1"/>
  <c r="G511" i="1"/>
  <c r="I510" i="1"/>
  <c r="G510" i="1"/>
  <c r="I509" i="1"/>
  <c r="G509" i="1"/>
  <c r="I508" i="1"/>
  <c r="G508" i="1"/>
  <c r="I507" i="1"/>
  <c r="G507" i="1"/>
  <c r="I506" i="1"/>
  <c r="G506" i="1"/>
  <c r="I505" i="1"/>
  <c r="G505" i="1"/>
  <c r="I504" i="1"/>
  <c r="G504" i="1"/>
  <c r="I503" i="1"/>
  <c r="G503" i="1"/>
  <c r="I502" i="1"/>
  <c r="G502" i="1"/>
  <c r="I501" i="1"/>
  <c r="G501" i="1"/>
  <c r="I500" i="1"/>
  <c r="G500" i="1"/>
  <c r="I499" i="1"/>
  <c r="G499" i="1"/>
  <c r="I498" i="1"/>
  <c r="G498" i="1"/>
  <c r="I497" i="1"/>
  <c r="G497" i="1"/>
  <c r="I496" i="1"/>
  <c r="G496" i="1"/>
  <c r="I495" i="1"/>
  <c r="G495" i="1"/>
  <c r="I494" i="1"/>
  <c r="G494" i="1"/>
  <c r="I493" i="1"/>
  <c r="G493" i="1"/>
  <c r="I492" i="1"/>
  <c r="G492" i="1"/>
  <c r="I491" i="1"/>
  <c r="G491" i="1"/>
  <c r="I489" i="1"/>
  <c r="G489" i="1"/>
  <c r="I488" i="1"/>
  <c r="G488" i="1"/>
  <c r="I487" i="1"/>
  <c r="G487" i="1"/>
  <c r="I486" i="1"/>
  <c r="G486" i="1"/>
  <c r="I485" i="1"/>
  <c r="G485" i="1"/>
  <c r="I484" i="1"/>
  <c r="G484" i="1"/>
  <c r="I483" i="1"/>
  <c r="G483" i="1"/>
  <c r="I482" i="1"/>
  <c r="G482" i="1"/>
  <c r="I481" i="1"/>
  <c r="G481" i="1"/>
  <c r="I480" i="1"/>
  <c r="G480" i="1"/>
  <c r="I479" i="1"/>
  <c r="G479" i="1"/>
  <c r="I478" i="1"/>
  <c r="G478" i="1"/>
  <c r="I477" i="1"/>
  <c r="G477" i="1"/>
  <c r="I475" i="1"/>
  <c r="G475" i="1"/>
  <c r="I474" i="1"/>
  <c r="G474" i="1"/>
  <c r="I473" i="1"/>
  <c r="G473" i="1"/>
  <c r="I472" i="1"/>
  <c r="G472" i="1"/>
  <c r="I471" i="1"/>
  <c r="G471" i="1"/>
  <c r="I470" i="1"/>
  <c r="G470" i="1"/>
  <c r="I469" i="1"/>
  <c r="G469" i="1"/>
  <c r="I468" i="1"/>
  <c r="G468" i="1"/>
  <c r="I467" i="1"/>
  <c r="G467" i="1"/>
  <c r="I466" i="1"/>
  <c r="G466" i="1"/>
  <c r="I465" i="1"/>
  <c r="G465" i="1"/>
  <c r="I464" i="1"/>
  <c r="G464" i="1"/>
  <c r="I463" i="1"/>
  <c r="G463" i="1"/>
  <c r="I462" i="1"/>
  <c r="G462" i="1"/>
  <c r="I461" i="1"/>
  <c r="G461" i="1"/>
  <c r="I460" i="1"/>
  <c r="G460" i="1"/>
  <c r="I459" i="1"/>
  <c r="G459" i="1"/>
  <c r="I458" i="1"/>
  <c r="G458" i="1"/>
  <c r="I457" i="1"/>
  <c r="G457" i="1"/>
  <c r="I456" i="1"/>
  <c r="G456" i="1"/>
  <c r="I455" i="1"/>
  <c r="G455" i="1"/>
  <c r="I454" i="1"/>
  <c r="G454" i="1"/>
  <c r="I453" i="1"/>
  <c r="G453" i="1"/>
  <c r="I452" i="1"/>
  <c r="G452" i="1"/>
  <c r="I451" i="1"/>
  <c r="G451" i="1"/>
  <c r="I450" i="1"/>
  <c r="G450" i="1"/>
  <c r="I449" i="1"/>
  <c r="G449" i="1"/>
  <c r="I448" i="1"/>
  <c r="G448" i="1"/>
  <c r="I447" i="1"/>
  <c r="G447" i="1"/>
  <c r="I446" i="1"/>
  <c r="G446" i="1"/>
  <c r="I445" i="1"/>
  <c r="G445" i="1"/>
  <c r="I444" i="1"/>
  <c r="G444" i="1"/>
  <c r="I443" i="1"/>
  <c r="G443" i="1"/>
  <c r="I441" i="1"/>
  <c r="G441" i="1"/>
  <c r="I440" i="1"/>
  <c r="G440" i="1"/>
  <c r="I439" i="1"/>
  <c r="G439" i="1"/>
  <c r="I438" i="1"/>
  <c r="G438" i="1"/>
  <c r="I437" i="1"/>
  <c r="G437" i="1"/>
  <c r="I436" i="1"/>
  <c r="G436" i="1"/>
  <c r="I435" i="1"/>
  <c r="G435" i="1"/>
  <c r="I434" i="1"/>
  <c r="G434" i="1"/>
  <c r="I433" i="1"/>
  <c r="G433" i="1"/>
  <c r="I432" i="1"/>
  <c r="G432" i="1"/>
  <c r="I431" i="1"/>
  <c r="G431" i="1"/>
  <c r="I430" i="1"/>
  <c r="G430" i="1"/>
  <c r="I429" i="1"/>
  <c r="G429" i="1"/>
  <c r="I428" i="1"/>
  <c r="G428" i="1"/>
  <c r="I427" i="1"/>
  <c r="G427" i="1"/>
  <c r="I426" i="1"/>
  <c r="G426" i="1"/>
  <c r="I425" i="1"/>
  <c r="G425" i="1"/>
  <c r="I424" i="1"/>
  <c r="G424" i="1"/>
  <c r="I423" i="1"/>
  <c r="G423" i="1"/>
  <c r="I422" i="1"/>
  <c r="G422" i="1"/>
  <c r="I421" i="1"/>
  <c r="G421" i="1"/>
  <c r="I420" i="1"/>
  <c r="G420" i="1"/>
  <c r="I419" i="1"/>
  <c r="G419" i="1"/>
  <c r="I418" i="1"/>
  <c r="G418" i="1"/>
  <c r="I417" i="1"/>
  <c r="G417" i="1"/>
  <c r="I416" i="1"/>
  <c r="G416" i="1"/>
  <c r="I415" i="1"/>
  <c r="G415" i="1"/>
  <c r="I414" i="1"/>
  <c r="G414" i="1"/>
  <c r="I413" i="1"/>
  <c r="G413" i="1"/>
  <c r="I412" i="1"/>
  <c r="G412" i="1"/>
  <c r="I411" i="1"/>
  <c r="G411" i="1"/>
  <c r="I410" i="1"/>
  <c r="G410" i="1"/>
  <c r="I409" i="1"/>
  <c r="G409" i="1"/>
  <c r="I408" i="1"/>
  <c r="G408" i="1"/>
  <c r="I407" i="1"/>
  <c r="G407" i="1"/>
  <c r="I406" i="1"/>
  <c r="I405" i="1"/>
  <c r="G405" i="1"/>
  <c r="I404" i="1"/>
  <c r="G404" i="1"/>
  <c r="I403" i="1"/>
  <c r="G403" i="1"/>
  <c r="I402" i="1"/>
  <c r="G402" i="1"/>
  <c r="I401" i="1"/>
  <c r="G401" i="1"/>
  <c r="I400" i="1"/>
  <c r="G400" i="1"/>
  <c r="I399" i="1"/>
  <c r="G399" i="1"/>
  <c r="I398" i="1"/>
  <c r="G398" i="1"/>
  <c r="I397" i="1"/>
  <c r="G397" i="1"/>
  <c r="I396" i="1"/>
  <c r="G396" i="1"/>
  <c r="I395" i="1"/>
  <c r="G395" i="1"/>
  <c r="I394" i="1"/>
  <c r="G394" i="1"/>
  <c r="I393" i="1"/>
  <c r="G393" i="1"/>
  <c r="I392" i="1"/>
  <c r="G392" i="1"/>
  <c r="I391" i="1"/>
  <c r="G391" i="1"/>
  <c r="I390" i="1"/>
  <c r="G390" i="1"/>
  <c r="I389" i="1"/>
  <c r="G389" i="1"/>
  <c r="I388" i="1"/>
  <c r="G388" i="1"/>
  <c r="I387" i="1"/>
  <c r="G387" i="1"/>
  <c r="I386" i="1"/>
  <c r="G386" i="1"/>
  <c r="I385" i="1"/>
  <c r="G385" i="1"/>
  <c r="I384" i="1"/>
  <c r="G384" i="1"/>
  <c r="I383" i="1"/>
  <c r="G383" i="1"/>
  <c r="I382" i="1"/>
  <c r="G382" i="1"/>
  <c r="I381" i="1"/>
  <c r="G381" i="1"/>
  <c r="I380" i="1"/>
  <c r="G380" i="1"/>
  <c r="I379" i="1"/>
  <c r="G379" i="1"/>
  <c r="I378" i="1"/>
  <c r="G378" i="1"/>
  <c r="I377" i="1"/>
  <c r="G377" i="1"/>
  <c r="I376" i="1"/>
  <c r="G376" i="1"/>
  <c r="I375" i="1"/>
  <c r="G375" i="1"/>
  <c r="I374" i="1"/>
  <c r="G374" i="1"/>
  <c r="I373" i="1"/>
  <c r="G373" i="1"/>
  <c r="I372" i="1"/>
  <c r="G372" i="1"/>
  <c r="I371" i="1"/>
  <c r="G371" i="1"/>
  <c r="I370" i="1"/>
  <c r="G370" i="1"/>
  <c r="I369" i="1"/>
  <c r="G369" i="1"/>
  <c r="I368" i="1"/>
  <c r="G368" i="1"/>
  <c r="I367" i="1"/>
  <c r="G367" i="1"/>
  <c r="I366" i="1"/>
  <c r="G366" i="1"/>
  <c r="I365" i="1"/>
  <c r="G365" i="1"/>
  <c r="I364" i="1"/>
  <c r="G364" i="1"/>
  <c r="I363" i="1"/>
  <c r="G363" i="1"/>
  <c r="I362" i="1"/>
  <c r="G362" i="1"/>
  <c r="I361" i="1"/>
  <c r="G361" i="1"/>
  <c r="I360" i="1"/>
  <c r="G360" i="1"/>
  <c r="I359" i="1"/>
  <c r="G359" i="1"/>
  <c r="E543" i="1" s="1"/>
  <c r="I358" i="1"/>
  <c r="G358" i="1"/>
  <c r="I357" i="1"/>
  <c r="G357" i="1"/>
  <c r="I356" i="1"/>
  <c r="G356" i="1"/>
  <c r="I353" i="1"/>
  <c r="G353" i="1"/>
  <c r="I352" i="1"/>
  <c r="G352" i="1"/>
  <c r="I351" i="1"/>
  <c r="G351" i="1"/>
  <c r="I350" i="1"/>
  <c r="G350" i="1"/>
  <c r="I349" i="1"/>
  <c r="G349" i="1"/>
  <c r="I348" i="1"/>
  <c r="G348" i="1"/>
  <c r="I347" i="1"/>
  <c r="G347" i="1"/>
  <c r="G346" i="1"/>
  <c r="I345" i="1"/>
  <c r="G345" i="1"/>
  <c r="I344" i="1"/>
  <c r="G344" i="1"/>
  <c r="I343" i="1"/>
  <c r="G343" i="1"/>
  <c r="I342" i="1"/>
  <c r="G342" i="1"/>
  <c r="I341" i="1"/>
  <c r="G341" i="1"/>
  <c r="I340" i="1"/>
  <c r="G340" i="1"/>
  <c r="I339" i="1"/>
  <c r="G339" i="1"/>
  <c r="I338" i="1"/>
  <c r="G338" i="1"/>
  <c r="I337" i="1"/>
  <c r="G337" i="1"/>
  <c r="I336" i="1"/>
  <c r="G336" i="1"/>
  <c r="I335" i="1"/>
  <c r="G335" i="1"/>
  <c r="I334" i="1"/>
  <c r="G334" i="1"/>
  <c r="I333" i="1"/>
  <c r="G333" i="1"/>
  <c r="I332" i="1"/>
  <c r="G332" i="1"/>
  <c r="I329" i="1"/>
  <c r="G329" i="1"/>
  <c r="I328" i="1"/>
  <c r="G328" i="1"/>
  <c r="E556" i="1" s="1"/>
  <c r="I327" i="1"/>
  <c r="G327" i="1"/>
  <c r="I326" i="1"/>
  <c r="G326" i="1"/>
  <c r="I325" i="1"/>
  <c r="G325" i="1"/>
  <c r="I324" i="1"/>
  <c r="G324" i="1"/>
  <c r="E546" i="1" s="1"/>
  <c r="I323" i="1"/>
  <c r="G323" i="1"/>
  <c r="I322" i="1"/>
  <c r="G322" i="1"/>
  <c r="I321" i="1"/>
  <c r="G321" i="1"/>
  <c r="I320" i="1"/>
  <c r="G320" i="1"/>
  <c r="I319" i="1"/>
  <c r="G319" i="1"/>
  <c r="I318" i="1"/>
  <c r="G318" i="1"/>
  <c r="I317" i="1"/>
  <c r="G317" i="1"/>
  <c r="I316" i="1"/>
  <c r="G316" i="1"/>
  <c r="I315" i="1"/>
  <c r="G315" i="1"/>
  <c r="I314" i="1"/>
  <c r="G314" i="1"/>
  <c r="I313" i="1"/>
  <c r="G313" i="1"/>
  <c r="I312" i="1"/>
  <c r="G312" i="1"/>
  <c r="E573" i="1" s="1"/>
  <c r="I311" i="1"/>
  <c r="G311" i="1"/>
  <c r="I310" i="1"/>
  <c r="G310" i="1"/>
  <c r="E572" i="1" s="1"/>
  <c r="I309" i="1"/>
  <c r="G309" i="1"/>
  <c r="E541" i="1" s="1"/>
  <c r="I308" i="1"/>
  <c r="G308" i="1"/>
  <c r="I307" i="1"/>
  <c r="G307" i="1"/>
  <c r="I306" i="1"/>
  <c r="G306" i="1"/>
  <c r="I305" i="1"/>
  <c r="G305" i="1"/>
  <c r="I304" i="1"/>
  <c r="G304" i="1"/>
  <c r="I303" i="1"/>
  <c r="G303" i="1"/>
  <c r="I302" i="1"/>
  <c r="G302" i="1"/>
  <c r="I301" i="1"/>
  <c r="G301" i="1"/>
  <c r="I300" i="1"/>
  <c r="G300" i="1"/>
  <c r="I299" i="1"/>
  <c r="G299" i="1"/>
  <c r="I298" i="1"/>
  <c r="G298" i="1"/>
  <c r="I297" i="1"/>
  <c r="G297" i="1"/>
  <c r="I296" i="1"/>
  <c r="G296" i="1"/>
  <c r="E568" i="1" s="1"/>
  <c r="I295" i="1"/>
  <c r="G295" i="1"/>
  <c r="I294" i="1"/>
  <c r="G294" i="1"/>
  <c r="I293" i="1"/>
  <c r="G293" i="1"/>
  <c r="I292" i="1"/>
  <c r="G292" i="1"/>
  <c r="I291" i="1"/>
  <c r="G291" i="1"/>
  <c r="I290" i="1"/>
  <c r="G290" i="1"/>
  <c r="I289" i="1"/>
  <c r="G289" i="1"/>
  <c r="I288" i="1"/>
  <c r="G288" i="1"/>
  <c r="I287" i="1"/>
  <c r="G287" i="1"/>
  <c r="I286" i="1"/>
  <c r="G286" i="1"/>
  <c r="I285" i="1"/>
  <c r="G285" i="1"/>
  <c r="I284" i="1"/>
  <c r="G284" i="1"/>
  <c r="I283" i="1"/>
  <c r="G283" i="1"/>
  <c r="I282" i="1"/>
  <c r="G282" i="1"/>
  <c r="I281" i="1"/>
  <c r="G281" i="1"/>
  <c r="I280" i="1"/>
  <c r="G280" i="1"/>
  <c r="I279" i="1"/>
  <c r="G279" i="1"/>
  <c r="I278" i="1"/>
  <c r="G278" i="1"/>
  <c r="I277" i="1"/>
  <c r="G277" i="1"/>
  <c r="I276" i="1"/>
  <c r="G276" i="1"/>
  <c r="I275" i="1"/>
  <c r="G275" i="1"/>
  <c r="I274" i="1"/>
  <c r="G274" i="1"/>
  <c r="I273" i="1"/>
  <c r="G273" i="1"/>
  <c r="I272" i="1"/>
  <c r="G272" i="1"/>
  <c r="I271" i="1"/>
  <c r="G271" i="1"/>
  <c r="I270" i="1"/>
  <c r="G270" i="1"/>
  <c r="I269" i="1"/>
  <c r="G269" i="1"/>
  <c r="I268" i="1"/>
  <c r="G268" i="1"/>
  <c r="I267" i="1"/>
  <c r="G267" i="1"/>
  <c r="I266" i="1"/>
  <c r="G266" i="1"/>
  <c r="I265" i="1"/>
  <c r="G265" i="1"/>
  <c r="I264" i="1"/>
  <c r="G264" i="1"/>
  <c r="I263" i="1"/>
  <c r="G263" i="1"/>
  <c r="I262" i="1"/>
  <c r="G262" i="1"/>
  <c r="I261" i="1"/>
  <c r="G261" i="1"/>
  <c r="I260" i="1"/>
  <c r="G260" i="1"/>
  <c r="I259" i="1"/>
  <c r="G259" i="1"/>
  <c r="I258" i="1"/>
  <c r="G258" i="1"/>
  <c r="I257" i="1"/>
  <c r="G257" i="1"/>
  <c r="I256" i="1"/>
  <c r="G256" i="1"/>
  <c r="I255" i="1"/>
  <c r="G255" i="1"/>
  <c r="I254" i="1"/>
  <c r="G254" i="1"/>
  <c r="I253" i="1"/>
  <c r="G253" i="1"/>
  <c r="I252" i="1"/>
  <c r="G252" i="1"/>
  <c r="I251" i="1"/>
  <c r="G251" i="1"/>
  <c r="I250" i="1"/>
  <c r="G250" i="1"/>
  <c r="I249" i="1"/>
  <c r="G249" i="1"/>
  <c r="I248" i="1"/>
  <c r="G248" i="1"/>
  <c r="E571" i="1" s="1"/>
  <c r="I247" i="1"/>
  <c r="G247" i="1"/>
  <c r="I246" i="1"/>
  <c r="G246" i="1"/>
  <c r="I245" i="1"/>
  <c r="G245" i="1"/>
  <c r="I244" i="1"/>
  <c r="G244" i="1"/>
  <c r="I243" i="1"/>
  <c r="G243" i="1"/>
  <c r="I242" i="1"/>
  <c r="G242" i="1"/>
  <c r="I241" i="1"/>
  <c r="G241" i="1"/>
  <c r="I240" i="1"/>
  <c r="G240" i="1"/>
  <c r="I239" i="1"/>
  <c r="G239" i="1"/>
  <c r="I238" i="1"/>
  <c r="G238" i="1"/>
  <c r="I237" i="1"/>
  <c r="G237" i="1"/>
  <c r="I236" i="1"/>
  <c r="G236" i="1"/>
  <c r="I235" i="1"/>
  <c r="G235" i="1"/>
  <c r="I234" i="1"/>
  <c r="G234" i="1"/>
  <c r="I233" i="1"/>
  <c r="G233" i="1"/>
  <c r="I232" i="1"/>
  <c r="G232" i="1"/>
  <c r="I231" i="1"/>
  <c r="G231" i="1"/>
  <c r="I230" i="1"/>
  <c r="G230" i="1"/>
  <c r="I229" i="1"/>
  <c r="G229" i="1"/>
  <c r="I228" i="1"/>
  <c r="G228" i="1"/>
  <c r="I227" i="1"/>
  <c r="G227" i="1"/>
  <c r="I226" i="1"/>
  <c r="G226" i="1"/>
  <c r="I225" i="1"/>
  <c r="G225" i="1"/>
  <c r="I224" i="1"/>
  <c r="G224" i="1"/>
  <c r="I223" i="1"/>
  <c r="G223" i="1"/>
  <c r="I222" i="1"/>
  <c r="G222" i="1"/>
  <c r="E570" i="1" s="1"/>
  <c r="I221" i="1"/>
  <c r="G221" i="1"/>
  <c r="I220" i="1"/>
  <c r="G220" i="1"/>
  <c r="I219" i="1"/>
  <c r="G219" i="1"/>
  <c r="I218" i="1"/>
  <c r="G218" i="1"/>
  <c r="I217" i="1"/>
  <c r="G217" i="1"/>
  <c r="I216" i="1"/>
  <c r="G216" i="1"/>
  <c r="I215" i="1"/>
  <c r="G215" i="1"/>
  <c r="I214" i="1"/>
  <c r="G214" i="1"/>
  <c r="I213" i="1"/>
  <c r="G213" i="1"/>
  <c r="I212" i="1"/>
  <c r="G212" i="1"/>
  <c r="I211" i="1"/>
  <c r="G211" i="1"/>
  <c r="I210" i="1"/>
  <c r="G210" i="1"/>
  <c r="I209" i="1"/>
  <c r="G209" i="1"/>
  <c r="I208" i="1"/>
  <c r="G208" i="1"/>
  <c r="I207" i="1"/>
  <c r="G207" i="1"/>
  <c r="I206" i="1"/>
  <c r="G206" i="1"/>
  <c r="I205" i="1"/>
  <c r="G205" i="1"/>
  <c r="I204" i="1"/>
  <c r="G204" i="1"/>
  <c r="E548" i="1" s="1"/>
  <c r="I203" i="1"/>
  <c r="G203" i="1"/>
  <c r="I202" i="1"/>
  <c r="G202" i="1"/>
  <c r="I201" i="1"/>
  <c r="G201" i="1"/>
  <c r="I200" i="1"/>
  <c r="G200" i="1"/>
  <c r="E550" i="1" s="1"/>
  <c r="I199" i="1"/>
  <c r="G199" i="1"/>
  <c r="E551" i="1" s="1"/>
  <c r="I198" i="1"/>
  <c r="G198" i="1"/>
  <c r="I197" i="1"/>
  <c r="G197" i="1"/>
  <c r="I196" i="1"/>
  <c r="G196" i="1"/>
  <c r="I195" i="1"/>
  <c r="G195" i="1"/>
  <c r="I194" i="1"/>
  <c r="G194" i="1"/>
  <c r="I193" i="1"/>
  <c r="G193" i="1"/>
  <c r="I192" i="1"/>
  <c r="G192" i="1"/>
  <c r="I191" i="1"/>
  <c r="G191" i="1"/>
  <c r="I190" i="1"/>
  <c r="G190" i="1"/>
  <c r="I189" i="1"/>
  <c r="G189" i="1"/>
  <c r="I188" i="1"/>
  <c r="G188" i="1"/>
  <c r="I187" i="1"/>
  <c r="G187" i="1"/>
  <c r="I186" i="1"/>
  <c r="G186" i="1"/>
  <c r="I185" i="1"/>
  <c r="G185" i="1"/>
  <c r="I184" i="1"/>
  <c r="G184" i="1"/>
  <c r="I183" i="1"/>
  <c r="G183" i="1"/>
  <c r="I182" i="1"/>
  <c r="G182" i="1"/>
  <c r="I181" i="1"/>
  <c r="G181" i="1"/>
  <c r="I180" i="1"/>
  <c r="G180" i="1"/>
  <c r="I179" i="1"/>
  <c r="G179" i="1"/>
  <c r="I178" i="1"/>
  <c r="G178" i="1"/>
  <c r="I177" i="1"/>
  <c r="G177" i="1"/>
  <c r="I176" i="1"/>
  <c r="G176" i="1"/>
  <c r="I175" i="1"/>
  <c r="G175" i="1"/>
  <c r="I174" i="1"/>
  <c r="G174" i="1"/>
  <c r="I173" i="1"/>
  <c r="G173" i="1"/>
  <c r="I172" i="1"/>
  <c r="G172" i="1"/>
  <c r="I171" i="1"/>
  <c r="G171" i="1"/>
  <c r="I170" i="1"/>
  <c r="G170" i="1"/>
  <c r="I169" i="1"/>
  <c r="G169" i="1"/>
  <c r="I168" i="1"/>
  <c r="G168" i="1"/>
  <c r="I167" i="1"/>
  <c r="G167" i="1"/>
  <c r="I166" i="1"/>
  <c r="G166" i="1"/>
  <c r="I165" i="1"/>
  <c r="G165" i="1"/>
  <c r="I164" i="1"/>
  <c r="G164" i="1"/>
  <c r="I163" i="1"/>
  <c r="G163" i="1"/>
  <c r="I162" i="1"/>
  <c r="G162" i="1"/>
  <c r="I161" i="1"/>
  <c r="G161" i="1"/>
  <c r="I160" i="1"/>
  <c r="G160" i="1"/>
  <c r="I159" i="1"/>
  <c r="G159" i="1"/>
  <c r="I158" i="1"/>
  <c r="G158" i="1"/>
  <c r="I157" i="1"/>
  <c r="G157" i="1"/>
  <c r="I156" i="1"/>
  <c r="G156" i="1"/>
  <c r="I155" i="1"/>
  <c r="G155" i="1"/>
  <c r="I154" i="1"/>
  <c r="G154" i="1"/>
  <c r="I153" i="1"/>
  <c r="G153" i="1"/>
  <c r="I152" i="1"/>
  <c r="G152" i="1"/>
  <c r="I151" i="1"/>
  <c r="G151" i="1"/>
  <c r="I150" i="1"/>
  <c r="G150" i="1"/>
  <c r="I149" i="1"/>
  <c r="G149" i="1"/>
  <c r="I148" i="1"/>
  <c r="G148" i="1"/>
  <c r="I147" i="1"/>
  <c r="G147" i="1"/>
  <c r="I146" i="1"/>
  <c r="G146" i="1"/>
  <c r="I145" i="1"/>
  <c r="G145" i="1"/>
  <c r="I144" i="1"/>
  <c r="G144" i="1"/>
  <c r="I143" i="1"/>
  <c r="G143" i="1"/>
  <c r="I142" i="1"/>
  <c r="G142" i="1"/>
  <c r="I141" i="1"/>
  <c r="G141" i="1"/>
  <c r="I140" i="1"/>
  <c r="G140" i="1"/>
  <c r="I139" i="1"/>
  <c r="G139" i="1"/>
  <c r="I138" i="1"/>
  <c r="G138" i="1"/>
  <c r="I137" i="1"/>
  <c r="G137" i="1"/>
  <c r="I136" i="1"/>
  <c r="G136" i="1"/>
  <c r="I135" i="1"/>
  <c r="G135" i="1"/>
  <c r="I134" i="1"/>
  <c r="G134" i="1"/>
  <c r="I133" i="1"/>
  <c r="G133" i="1"/>
  <c r="I132" i="1"/>
  <c r="G132" i="1"/>
  <c r="I131" i="1"/>
  <c r="G131" i="1"/>
  <c r="I130" i="1"/>
  <c r="G130" i="1"/>
  <c r="I129" i="1"/>
  <c r="G129" i="1"/>
  <c r="I128" i="1"/>
  <c r="G128" i="1"/>
  <c r="I127" i="1"/>
  <c r="G127" i="1"/>
  <c r="I126" i="1"/>
  <c r="G126" i="1"/>
  <c r="I125" i="1"/>
  <c r="G125" i="1"/>
  <c r="I124" i="1"/>
  <c r="G124" i="1"/>
  <c r="I123" i="1"/>
  <c r="G123" i="1"/>
  <c r="I122" i="1"/>
  <c r="G122" i="1"/>
  <c r="I121" i="1"/>
  <c r="G121" i="1"/>
  <c r="I120" i="1"/>
  <c r="G120" i="1"/>
  <c r="I119" i="1"/>
  <c r="G119" i="1"/>
  <c r="I118" i="1"/>
  <c r="G118" i="1"/>
  <c r="I117" i="1"/>
  <c r="G117" i="1"/>
  <c r="I116" i="1"/>
  <c r="G116" i="1"/>
  <c r="I115" i="1"/>
  <c r="G115" i="1"/>
  <c r="I114" i="1"/>
  <c r="G114" i="1"/>
  <c r="I113" i="1"/>
  <c r="G113" i="1"/>
  <c r="I112" i="1"/>
  <c r="G112" i="1"/>
  <c r="I111" i="1"/>
  <c r="G111" i="1"/>
  <c r="I110" i="1"/>
  <c r="G110" i="1"/>
  <c r="I109" i="1"/>
  <c r="G109" i="1"/>
  <c r="I108" i="1"/>
  <c r="G108" i="1"/>
  <c r="I107" i="1"/>
  <c r="G107" i="1"/>
  <c r="I106" i="1"/>
  <c r="G106" i="1"/>
  <c r="I105" i="1"/>
  <c r="G105" i="1"/>
  <c r="I104" i="1"/>
  <c r="G104" i="1"/>
  <c r="I103" i="1"/>
  <c r="G103" i="1"/>
  <c r="I102" i="1"/>
  <c r="G102" i="1"/>
  <c r="I101" i="1"/>
  <c r="G101" i="1"/>
  <c r="I100" i="1"/>
  <c r="G100" i="1"/>
  <c r="I99" i="1"/>
  <c r="G99" i="1"/>
  <c r="I98" i="1"/>
  <c r="G98" i="1"/>
  <c r="I97" i="1"/>
  <c r="G97" i="1"/>
  <c r="I96" i="1"/>
  <c r="G96" i="1"/>
  <c r="I95" i="1"/>
  <c r="G95" i="1"/>
  <c r="I94" i="1"/>
  <c r="G94" i="1"/>
  <c r="I93" i="1"/>
  <c r="G93" i="1"/>
  <c r="I92" i="1"/>
  <c r="G92" i="1"/>
  <c r="I91" i="1"/>
  <c r="G91" i="1"/>
  <c r="I90" i="1"/>
  <c r="G90" i="1"/>
  <c r="I89" i="1"/>
  <c r="G89" i="1"/>
  <c r="I88" i="1"/>
  <c r="G88" i="1"/>
  <c r="I87" i="1"/>
  <c r="G87" i="1"/>
  <c r="I86" i="1"/>
  <c r="G86" i="1"/>
  <c r="I85" i="1"/>
  <c r="G85" i="1"/>
  <c r="I84" i="1"/>
  <c r="G84" i="1"/>
  <c r="I83" i="1"/>
  <c r="G83" i="1"/>
  <c r="I82" i="1"/>
  <c r="G82" i="1"/>
  <c r="I81" i="1"/>
  <c r="G81" i="1"/>
  <c r="I80" i="1"/>
  <c r="G80" i="1"/>
  <c r="I79" i="1"/>
  <c r="G79" i="1"/>
  <c r="I78" i="1"/>
  <c r="G78" i="1"/>
  <c r="I77" i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9" i="1"/>
  <c r="G69" i="1"/>
  <c r="I68" i="1"/>
  <c r="G68" i="1"/>
  <c r="I67" i="1"/>
  <c r="G67" i="1"/>
  <c r="I66" i="1"/>
  <c r="G66" i="1"/>
  <c r="I65" i="1"/>
  <c r="G65" i="1"/>
  <c r="I64" i="1"/>
  <c r="G64" i="1"/>
  <c r="I63" i="1"/>
  <c r="G63" i="1"/>
  <c r="I62" i="1"/>
  <c r="G62" i="1"/>
  <c r="E562" i="1" s="1"/>
  <c r="I61" i="1"/>
  <c r="G61" i="1"/>
  <c r="I60" i="1"/>
  <c r="G60" i="1"/>
  <c r="I59" i="1"/>
  <c r="G59" i="1"/>
  <c r="I58" i="1"/>
  <c r="G58" i="1"/>
  <c r="E561" i="1" s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E578" i="1" l="1"/>
  <c r="E574" i="1"/>
  <c r="E547" i="1"/>
  <c r="E575" i="1"/>
  <c r="E553" i="1"/>
  <c r="E564" i="1"/>
  <c r="E560" i="1"/>
  <c r="E579" i="1"/>
  <c r="E544" i="1"/>
  <c r="E588" i="1"/>
  <c r="E569" i="1"/>
  <c r="G535" i="1"/>
  <c r="E545" i="1"/>
  <c r="E585" i="1"/>
  <c r="E584" i="1"/>
  <c r="E582" i="1"/>
  <c r="E583" i="1"/>
  <c r="E577" i="1"/>
  <c r="E552" i="1"/>
  <c r="E542" i="1"/>
  <c r="E549" i="1"/>
  <c r="E581" i="1"/>
  <c r="E555" i="1"/>
  <c r="E554" i="1"/>
  <c r="E566" i="1"/>
  <c r="E567" i="1"/>
  <c r="E565" i="1"/>
  <c r="E558" i="1"/>
  <c r="E559" i="1"/>
  <c r="E563" i="1"/>
  <c r="E557" i="1"/>
  <c r="E590" i="1" l="1"/>
</calcChain>
</file>

<file path=xl/sharedStrings.xml><?xml version="1.0" encoding="utf-8"?>
<sst xmlns="http://schemas.openxmlformats.org/spreadsheetml/2006/main" count="2338" uniqueCount="1195">
  <si>
    <t>LIBRO MAYOR AUXILIAR DE INVENTARIO</t>
  </si>
  <si>
    <t>EMPRESA: COALFA SPA</t>
  </si>
  <si>
    <t>EMISIÓN: RESUMIDA</t>
  </si>
  <si>
    <t>CONCEPTO</t>
  </si>
  <si>
    <t>Artículo</t>
  </si>
  <si>
    <t>SKU</t>
  </si>
  <si>
    <t>UM</t>
  </si>
  <si>
    <t xml:space="preserve">SALDO FISICO STOCK </t>
  </si>
  <si>
    <t>COSTO UNITARIO</t>
  </si>
  <si>
    <t>COSTO TOTAL</t>
  </si>
  <si>
    <t>SALIDA DIARIA DE BODEGA</t>
  </si>
  <si>
    <t>STOCK EN BODEGA</t>
  </si>
  <si>
    <t>OBSERVACION</t>
  </si>
  <si>
    <t>PRODUCTO SIN SALIDA DE BODEGA</t>
  </si>
  <si>
    <t>Abarrotes Aceite</t>
  </si>
  <si>
    <t>ACEITE DE 5 LT.</t>
  </si>
  <si>
    <t>ABAC001</t>
  </si>
  <si>
    <t>LT</t>
  </si>
  <si>
    <t>Cosina caliente y linea</t>
  </si>
  <si>
    <t xml:space="preserve">ACEITE DE OLIVA </t>
  </si>
  <si>
    <t>ABAC002</t>
  </si>
  <si>
    <t>Para 1 senana</t>
  </si>
  <si>
    <t>Abarrotes Cafetería</t>
  </si>
  <si>
    <t>AZUCAR DE 1 KG. CAMSA</t>
  </si>
  <si>
    <t>ABAC003</t>
  </si>
  <si>
    <t>KG</t>
  </si>
  <si>
    <t>5kg panaderia 5kg respoteria</t>
  </si>
  <si>
    <t>AZUCAR DE 1 KG. IANSA</t>
  </si>
  <si>
    <t>ABAC004</t>
  </si>
  <si>
    <t>linea</t>
  </si>
  <si>
    <t>AZUCAR FLOR DE 500  KG.</t>
  </si>
  <si>
    <t>ABAC005</t>
  </si>
  <si>
    <t>Cuando hay totrta o quede</t>
  </si>
  <si>
    <t>CAFE DE 400 GR.</t>
  </si>
  <si>
    <t>ABAC006</t>
  </si>
  <si>
    <t>Desayuno y almuerzo cena</t>
  </si>
  <si>
    <t>CAPUCHINO TRADICIONAL</t>
  </si>
  <si>
    <t>ABAC007</t>
  </si>
  <si>
    <t>Desayuno cada que sale en la minuta</t>
  </si>
  <si>
    <t>SUCRALOSA LIQUIDA</t>
  </si>
  <si>
    <t>ABAC009</t>
  </si>
  <si>
    <t>Ddesayuno almuerzo y cena</t>
  </si>
  <si>
    <t>TE BRASIL  (UNIDAD)</t>
  </si>
  <si>
    <t>ABAC010</t>
  </si>
  <si>
    <t>UND</t>
  </si>
  <si>
    <t>TE HIERBAS SURTIDO  (Unidad)</t>
  </si>
  <si>
    <t>ABAC011</t>
  </si>
  <si>
    <t>Abarrotes Condimentos</t>
  </si>
  <si>
    <t>AJI CREMA DE 900 GR DON JUAN</t>
  </si>
  <si>
    <t>ABAC012</t>
  </si>
  <si>
    <t>Almuerzo y Cena</t>
  </si>
  <si>
    <t>AJI CREMA DE 1 KG TRAVERSO</t>
  </si>
  <si>
    <t>ABAC013</t>
  </si>
  <si>
    <t>KECHUP DE 1 KG TRAVERSO</t>
  </si>
  <si>
    <t>ABAC015</t>
  </si>
  <si>
    <t>MOSTAZA DE 1 KG. TRAVERSO</t>
  </si>
  <si>
    <t>ABAC016</t>
  </si>
  <si>
    <t>MAYONESA 1 KG CAROZZI</t>
  </si>
  <si>
    <t>ABAC017</t>
  </si>
  <si>
    <t>AJI DE COLOR  DE 1 KG.</t>
  </si>
  <si>
    <t>ABAC018</t>
  </si>
  <si>
    <t>Cada  3 dia</t>
  </si>
  <si>
    <t>AJI PASTA AMARILLO</t>
  </si>
  <si>
    <t>ABAC019</t>
  </si>
  <si>
    <t xml:space="preserve">Cada que hay aji </t>
  </si>
  <si>
    <t>AJO EN POLVO</t>
  </si>
  <si>
    <t>ABAC020</t>
  </si>
  <si>
    <t>Todos los dia</t>
  </si>
  <si>
    <t>CALDO DE POLLO 1KG</t>
  </si>
  <si>
    <t>ABAC021</t>
  </si>
  <si>
    <t>CALDO DE CARNE 1KG</t>
  </si>
  <si>
    <t>ABAC022</t>
  </si>
  <si>
    <t>CANELA ENTERA 250 GR</t>
  </si>
  <si>
    <t>ABAC023</t>
  </si>
  <si>
    <t>Reposteria y para la linea cada 5 dia</t>
  </si>
  <si>
    <t>CANELA MOLIDA KG</t>
  </si>
  <si>
    <t>ABAC024</t>
  </si>
  <si>
    <t>Cada 5 dia</t>
  </si>
  <si>
    <t>COMINO DE 250 GR.</t>
  </si>
  <si>
    <t>ABAC025</t>
  </si>
  <si>
    <t>SIN SALIDA</t>
  </si>
  <si>
    <t>CURRY 1 kg</t>
  </si>
  <si>
    <t>ABAC026</t>
  </si>
  <si>
    <t>MERKEN</t>
  </si>
  <si>
    <t>ABAC027</t>
  </si>
  <si>
    <t>Almuerzo y Cena cosina caliente</t>
  </si>
  <si>
    <t>OREGANO DE 250 GR.</t>
  </si>
  <si>
    <t>ABAC028</t>
  </si>
  <si>
    <t>QUESO RALLADO</t>
  </si>
  <si>
    <t>ABAC029</t>
  </si>
  <si>
    <t>SAL DE 1 KG.</t>
  </si>
  <si>
    <t>ABAC030</t>
  </si>
  <si>
    <t>CADA 2 DIA COSINA ALIENTE Y LINEA</t>
  </si>
  <si>
    <t>SALSA BLANCA</t>
  </si>
  <si>
    <t>ABAC031</t>
  </si>
  <si>
    <t>CADA 5 DIA</t>
  </si>
  <si>
    <t>SALSA BLANCA TKF</t>
  </si>
  <si>
    <t>ABAC032</t>
  </si>
  <si>
    <t>SALSA ESPAÑOLA</t>
  </si>
  <si>
    <t>ABAC033</t>
  </si>
  <si>
    <t>Cada 2 semana</t>
  </si>
  <si>
    <t>SALSA SOYA 5 LT.</t>
  </si>
  <si>
    <t>ABAC034</t>
  </si>
  <si>
    <t>1 semana</t>
  </si>
  <si>
    <t>SEMILLA DE SESAMO</t>
  </si>
  <si>
    <t>ABAC035</t>
  </si>
  <si>
    <t xml:space="preserve">CARNE DE SOYA 1KG </t>
  </si>
  <si>
    <t>ABAC036</t>
  </si>
  <si>
    <t>NUECES 1 KG</t>
  </si>
  <si>
    <t>ABAC037</t>
  </si>
  <si>
    <t xml:space="preserve"> Cada 2 semana</t>
  </si>
  <si>
    <t>SUCEDANEO DE LIMON 5 LITROS</t>
  </si>
  <si>
    <t>ABAC038</t>
  </si>
  <si>
    <t>Almuerzo cena y cosina caliente</t>
  </si>
  <si>
    <t>VINAGRE 5 LITROS BLANCO</t>
  </si>
  <si>
    <t>ABAC039</t>
  </si>
  <si>
    <t>VINAGRE 5 LITROS ROSADO</t>
  </si>
  <si>
    <t>ABAC040</t>
  </si>
  <si>
    <t xml:space="preserve">Cada 4 dia cosina caliente y Linea </t>
  </si>
  <si>
    <t>VINAGRE BLANCO DE 500 CC.</t>
  </si>
  <si>
    <t>ABAC041</t>
  </si>
  <si>
    <t>VINAGRE TINTO DE 500 CC.</t>
  </si>
  <si>
    <t>ABAC042</t>
  </si>
  <si>
    <t>ALIÑO COMPLETO 1*250 grs</t>
  </si>
  <si>
    <t>ABAC043</t>
  </si>
  <si>
    <t>CREMA VARIEDAD 1 KG</t>
  </si>
  <si>
    <t>Abarrotes Sopas y Cremas</t>
  </si>
  <si>
    <t>CREMA DE LENTEJAS DE 1 KG.</t>
  </si>
  <si>
    <t>ABAC044</t>
  </si>
  <si>
    <t>CREMA DE TOMATE DE 1 KG.</t>
  </si>
  <si>
    <t>ABAC045</t>
  </si>
  <si>
    <t>CREMA DE CHAMPIÑON DE 1 KG.</t>
  </si>
  <si>
    <t>ABAC046</t>
  </si>
  <si>
    <t>CREMA DE ESPARRAGOS DE 1 KG.</t>
  </si>
  <si>
    <t>ABAC047</t>
  </si>
  <si>
    <t>CREMA DE POLLO DE 1 KG.</t>
  </si>
  <si>
    <t>ABAC048</t>
  </si>
  <si>
    <t>CREMA DE ARVEJA DE 1 KG.</t>
  </si>
  <si>
    <t>ABAC049</t>
  </si>
  <si>
    <t>CREMA DE VERDURAS DE 1 KG.</t>
  </si>
  <si>
    <t>ABAC050</t>
  </si>
  <si>
    <t>CREMA DE ZAPALLO DE 1 KG.</t>
  </si>
  <si>
    <t>ABAC051</t>
  </si>
  <si>
    <t>CREMA DE CHOCLO DE 1 KG.</t>
  </si>
  <si>
    <t>ABAC052</t>
  </si>
  <si>
    <t>Abarrotes Conservas Saladas</t>
  </si>
  <si>
    <t>ATUN PUCH LOMITO EN AGUA 1KILO</t>
  </si>
  <si>
    <t>ABAC053</t>
  </si>
  <si>
    <t>hipocalorico y cosina caliente</t>
  </si>
  <si>
    <t>CONCENTRADO DE TOMATE KG.</t>
  </si>
  <si>
    <t>ABAC054</t>
  </si>
  <si>
    <t>Cada 2 dia cosina caliente</t>
  </si>
  <si>
    <t>JUREL EN LATA DE 425 GR (KG)</t>
  </si>
  <si>
    <t>ABAC055</t>
  </si>
  <si>
    <t>PALMITOS EN RODAJAS 400 GR. 800GR</t>
  </si>
  <si>
    <t>ABAC056</t>
  </si>
  <si>
    <t>hipocalorico cad a 2 semana</t>
  </si>
  <si>
    <t>Abarrotes Conservas Dulces</t>
  </si>
  <si>
    <t>COCTEL DE FRUTAS KG</t>
  </si>
  <si>
    <t>ABAC057</t>
  </si>
  <si>
    <t>desayuno o reposteria cada 2 semana</t>
  </si>
  <si>
    <t>DURAZNO MITADES KG</t>
  </si>
  <si>
    <t>ABAC058</t>
  </si>
  <si>
    <t>Abarrotes Farinaceos</t>
  </si>
  <si>
    <t>ALMIDON DE MAIZ DE 1 KG</t>
  </si>
  <si>
    <t>ABAC059</t>
  </si>
  <si>
    <t>cada 3 dia Casina caliente</t>
  </si>
  <si>
    <t xml:space="preserve">COUS COUS </t>
  </si>
  <si>
    <t>ABAC060</t>
  </si>
  <si>
    <t>RISOTTO ITALIANO</t>
  </si>
  <si>
    <t>ABAC061</t>
  </si>
  <si>
    <t>ARROZ G2</t>
  </si>
  <si>
    <t>ABAC062</t>
  </si>
  <si>
    <t>Almuerzo y cena</t>
  </si>
  <si>
    <t>ARVEJAS PARTIDAS</t>
  </si>
  <si>
    <t>ABAC063</t>
  </si>
  <si>
    <t>FIDEO ESPIRALES 5KG</t>
  </si>
  <si>
    <t>ABAC065</t>
  </si>
  <si>
    <t>FIDEO QUIFAROS DE 400 GRAMOS.</t>
  </si>
  <si>
    <t>ABAC067</t>
  </si>
  <si>
    <t>FIDEO CABELLOS DE ANGEL CORTO 400 GR.</t>
  </si>
  <si>
    <t>ABAC068</t>
  </si>
  <si>
    <t>FIDEO CARACOLES DE 5 KG.</t>
  </si>
  <si>
    <t>ABAC069</t>
  </si>
  <si>
    <t>FIDEO CORBATAS DE 5 KG.</t>
  </si>
  <si>
    <t>ABAC070</t>
  </si>
  <si>
    <t>FIDEO SPAGHETTI DE 5 KG.</t>
  </si>
  <si>
    <t>ABAC072</t>
  </si>
  <si>
    <t>FIDEO CARACOLES DE 400 G.</t>
  </si>
  <si>
    <t>ABAC073</t>
  </si>
  <si>
    <t>FIDEO SPAGUETTI DE 400 GRAMOS. Tricolor</t>
  </si>
  <si>
    <t>ABAC074</t>
  </si>
  <si>
    <t>GARBANZOS</t>
  </si>
  <si>
    <t>ABAC075</t>
  </si>
  <si>
    <t>LASAGNA PRE-COCIDA DE 360 GR</t>
  </si>
  <si>
    <t>ABAC076</t>
  </si>
  <si>
    <t>PURE 1 KG</t>
  </si>
  <si>
    <t>ABAC077</t>
  </si>
  <si>
    <t>QUINOA</t>
  </si>
  <si>
    <t>ABAC078</t>
  </si>
  <si>
    <t>cada 3 semna hipocalorico</t>
  </si>
  <si>
    <t>SEMOLA DE 1 KG.</t>
  </si>
  <si>
    <t>ABAC079</t>
  </si>
  <si>
    <t xml:space="preserve"> KG</t>
  </si>
  <si>
    <t>cada 3 semna cosina caliente</t>
  </si>
  <si>
    <t>TRIGO MOTE 1 KG.</t>
  </si>
  <si>
    <t>ABAC080</t>
  </si>
  <si>
    <t>Reposteria y hipocalorico</t>
  </si>
  <si>
    <t>FIDEO ESPIRALES 5KG LUCHETTI</t>
  </si>
  <si>
    <t>ABAC081</t>
  </si>
  <si>
    <t>FIDEO MOSTACHOLLI 400G. LUCHETTI</t>
  </si>
  <si>
    <t>ABAC082</t>
  </si>
  <si>
    <t>FIDEO CORBATAS DE 5 KG. LUCHETTI</t>
  </si>
  <si>
    <t>ABAC083</t>
  </si>
  <si>
    <t>FIDEO SPAGUETTI DE 400 GRAMOS. INTEGRAL</t>
  </si>
  <si>
    <t>ABAC084</t>
  </si>
  <si>
    <t>Cada 3 semana hipocalorico</t>
  </si>
  <si>
    <t>REFRESCO CARIBEÑO 33  JUGO EN POLVO 1 KG</t>
  </si>
  <si>
    <t>Abarrotes Jugos en polvos y concentrados</t>
  </si>
  <si>
    <t>NARANJA</t>
  </si>
  <si>
    <t>ABAC085</t>
  </si>
  <si>
    <t>MANZANA</t>
  </si>
  <si>
    <t>ABAC086</t>
  </si>
  <si>
    <t>MELON TUNA</t>
  </si>
  <si>
    <t>ABAC087</t>
  </si>
  <si>
    <t>NARANJA PLATANO</t>
  </si>
  <si>
    <t>ABAC088</t>
  </si>
  <si>
    <t>FRAMBUESA</t>
  </si>
  <si>
    <t>ABAC089</t>
  </si>
  <si>
    <t xml:space="preserve">FRUTILLA </t>
  </si>
  <si>
    <t>ABAC090</t>
  </si>
  <si>
    <t>DAMASCO</t>
  </si>
  <si>
    <t>ABAC091</t>
  </si>
  <si>
    <t>DURAZNO</t>
  </si>
  <si>
    <t>ABAC092</t>
  </si>
  <si>
    <t>PIÑA</t>
  </si>
  <si>
    <t>ABAC093</t>
  </si>
  <si>
    <t>PERA</t>
  </si>
  <si>
    <t>ABAC094</t>
  </si>
  <si>
    <t>PAPAYA</t>
  </si>
  <si>
    <t>ABAC095</t>
  </si>
  <si>
    <t>MANGO</t>
  </si>
  <si>
    <t>ABAC096</t>
  </si>
  <si>
    <t>Abarrotes Postres en Polvo</t>
  </si>
  <si>
    <t>ARROZ CON LECHE 1KG</t>
  </si>
  <si>
    <t>ABAC097</t>
  </si>
  <si>
    <t>Cada 2 semana reposteria</t>
  </si>
  <si>
    <t>AVENA CON LECHE 1KG</t>
  </si>
  <si>
    <t>ABAC098</t>
  </si>
  <si>
    <t>Cada 4 dia desayuno</t>
  </si>
  <si>
    <t>BAVAROISE SABORES 1 KG</t>
  </si>
  <si>
    <t>LIMON</t>
  </si>
  <si>
    <t>ABAC099</t>
  </si>
  <si>
    <t>FLAN CON LECHE SABORES 1 KG</t>
  </si>
  <si>
    <t xml:space="preserve">FRAMBUESA </t>
  </si>
  <si>
    <t>ABAC0100</t>
  </si>
  <si>
    <t>FRUTILLA</t>
  </si>
  <si>
    <t>ABAC0101</t>
  </si>
  <si>
    <t>VAINILLA</t>
  </si>
  <si>
    <t>ABAC0102</t>
  </si>
  <si>
    <t>LUCUMA</t>
  </si>
  <si>
    <t>ABAC0103</t>
  </si>
  <si>
    <t>BOCADO</t>
  </si>
  <si>
    <t>ABAC0104</t>
  </si>
  <si>
    <t>CHOCOLATE</t>
  </si>
  <si>
    <t>ABAC0105</t>
  </si>
  <si>
    <t>CARAMELO</t>
  </si>
  <si>
    <t>ABAC0106</t>
  </si>
  <si>
    <t>CHIRIMOYA</t>
  </si>
  <si>
    <t>ABAC0107</t>
  </si>
  <si>
    <t>JALEA SABORES DE 1 KG</t>
  </si>
  <si>
    <t>ABAC108</t>
  </si>
  <si>
    <t>ABAC109</t>
  </si>
  <si>
    <t>ABAC110</t>
  </si>
  <si>
    <t>ABAC111</t>
  </si>
  <si>
    <t>ABAC112</t>
  </si>
  <si>
    <t>ABAC113</t>
  </si>
  <si>
    <t>ABAC114</t>
  </si>
  <si>
    <t>GUINDA</t>
  </si>
  <si>
    <t>ABAC115</t>
  </si>
  <si>
    <t>ABAC116</t>
  </si>
  <si>
    <t>ABAC117</t>
  </si>
  <si>
    <t>JALEA SIN SABOR</t>
  </si>
  <si>
    <t>ABAC118</t>
  </si>
  <si>
    <t>cada 3 semana reposteria</t>
  </si>
  <si>
    <t>CREMA DE CHANTILLY 25OGR</t>
  </si>
  <si>
    <t>ABAC119</t>
  </si>
  <si>
    <t>LECHE ASADA</t>
  </si>
  <si>
    <t>ABAC120</t>
  </si>
  <si>
    <t>LECHE NEVADA</t>
  </si>
  <si>
    <t>ABAC121</t>
  </si>
  <si>
    <t>MOUSSE 1KG</t>
  </si>
  <si>
    <t>CHOCOLATE ALMENDRA</t>
  </si>
  <si>
    <t>ABAC122</t>
  </si>
  <si>
    <t>ABAC123</t>
  </si>
  <si>
    <t>ABAC124</t>
  </si>
  <si>
    <t>PLATANO</t>
  </si>
  <si>
    <t>ABAC125</t>
  </si>
  <si>
    <t>NATILLAS VARIEDAD SABORES</t>
  </si>
  <si>
    <t>MANJAR CON ALMENDRA</t>
  </si>
  <si>
    <t>ABAC126</t>
  </si>
  <si>
    <t>CHOCOLATE CON ALMENDRA</t>
  </si>
  <si>
    <t>ABAC127</t>
  </si>
  <si>
    <t>MANJAR CON COCO RALLADO</t>
  </si>
  <si>
    <t>ABAC128</t>
  </si>
  <si>
    <t>PIE DE LIMON</t>
  </si>
  <si>
    <t>ABAC129</t>
  </si>
  <si>
    <t>Abarrotes Repostería</t>
  </si>
  <si>
    <t>SABORIZANTE FRUTILLA MACROFOOD</t>
  </si>
  <si>
    <t>ABAC130</t>
  </si>
  <si>
    <t>SEMOLA CON LECHE 1K</t>
  </si>
  <si>
    <t>ABAC131</t>
  </si>
  <si>
    <t>CHANCACA DE 400 GR.</t>
  </si>
  <si>
    <t>ABAC132</t>
  </si>
  <si>
    <t>cada 3 semana</t>
  </si>
  <si>
    <t>CHOCOLATE DULCE 1 KG.</t>
  </si>
  <si>
    <t>ABAC133</t>
  </si>
  <si>
    <t xml:space="preserve">Cada 4 dia desayuno y reposteria </t>
  </si>
  <si>
    <t>CHOCOLATE AMARGO 1 KG.</t>
  </si>
  <si>
    <t>ABAC134</t>
  </si>
  <si>
    <t>COCO RALLADO 2,50 GR</t>
  </si>
  <si>
    <t>ABAC135</t>
  </si>
  <si>
    <t>CREMA PASTELERA</t>
  </si>
  <si>
    <t>ABAC136</t>
  </si>
  <si>
    <t>ESENCIA DE VAINILLA DE 1 X 1 LT.</t>
  </si>
  <si>
    <t>ABAC137</t>
  </si>
  <si>
    <t>HUESILLO</t>
  </si>
  <si>
    <t>ABAC138</t>
  </si>
  <si>
    <t>MANJAR BOL 1 KG.</t>
  </si>
  <si>
    <t>ABAC139</t>
  </si>
  <si>
    <t>MERENGUE EN POLVO</t>
  </si>
  <si>
    <t>ABAC140</t>
  </si>
  <si>
    <t>MERMELADAS</t>
  </si>
  <si>
    <t>DAMASCO 1X1 KG</t>
  </si>
  <si>
    <t>ABAC144</t>
  </si>
  <si>
    <t>todos los dia desayuno</t>
  </si>
  <si>
    <t>DURAZNO 1X1KG</t>
  </si>
  <si>
    <t>ABAC145</t>
  </si>
  <si>
    <t>MORA 1X1KGGR</t>
  </si>
  <si>
    <t>ABAC146</t>
  </si>
  <si>
    <t>FRAMBUESA 1X1KG</t>
  </si>
  <si>
    <t>ABAC147</t>
  </si>
  <si>
    <t>FRUTILLA 1X1KG</t>
  </si>
  <si>
    <t>ABAC148</t>
  </si>
  <si>
    <t>GUINDA 1X1KG</t>
  </si>
  <si>
    <t>ABAC149</t>
  </si>
  <si>
    <t>POLVO DE HORNEAR 500 GR.</t>
  </si>
  <si>
    <t>ABAC150</t>
  </si>
  <si>
    <t>SALSA DE CARAMELO 1 LT</t>
  </si>
  <si>
    <t>ABAC151</t>
  </si>
  <si>
    <t>SALSA DE CHOCOLATE  1 LT</t>
  </si>
  <si>
    <t>ABAC152</t>
  </si>
  <si>
    <t>SALSA DE FRAMBUESA  1 LT</t>
  </si>
  <si>
    <t>ABAC153</t>
  </si>
  <si>
    <t>SALSA DE MANJAR 1 LT.</t>
  </si>
  <si>
    <t>ABAC154</t>
  </si>
  <si>
    <t>SALSA DE NARANJA 1 LT.</t>
  </si>
  <si>
    <t>ABAC155</t>
  </si>
  <si>
    <t>SOPAS POLLO DE 1 KG.</t>
  </si>
  <si>
    <t>VERDURAS</t>
  </si>
  <si>
    <t>ARROZ</t>
  </si>
  <si>
    <t>FIDEOS</t>
  </si>
  <si>
    <t>ABAC156</t>
  </si>
  <si>
    <t>SEMOLA</t>
  </si>
  <si>
    <t>ABAC157</t>
  </si>
  <si>
    <t>SOPAS CARNES DE 1 KG.</t>
  </si>
  <si>
    <t>ABAC158</t>
  </si>
  <si>
    <t>ABAC159</t>
  </si>
  <si>
    <t>ABAC160</t>
  </si>
  <si>
    <t>ABAC161</t>
  </si>
  <si>
    <t>CARACOLITOS</t>
  </si>
  <si>
    <t>ABAC162</t>
  </si>
  <si>
    <t>SACHET</t>
  </si>
  <si>
    <t>Abarrotes Sachet Portion</t>
  </si>
  <si>
    <t>ACEITE MARAVIILLA PORCION 8CC X 300 UND</t>
  </si>
  <si>
    <t>ABAC163</t>
  </si>
  <si>
    <t>1 caja cada 2 dia</t>
  </si>
  <si>
    <t>ACEITE MARAVIILLA PORCION 10CC X 300 UND</t>
  </si>
  <si>
    <t>ABAC164</t>
  </si>
  <si>
    <t>AJI PORTION DE 8 GR 300 unidades</t>
  </si>
  <si>
    <t>ABAC165</t>
  </si>
  <si>
    <t>AJI PORTION DE 10 GR 528 unidades</t>
  </si>
  <si>
    <t>ABAC166</t>
  </si>
  <si>
    <t>AZUCAR SACHET (800 UNID.)</t>
  </si>
  <si>
    <t>ABAC167</t>
  </si>
  <si>
    <t>CAFE NESCAFE STICK  (CJ 180unid)</t>
  </si>
  <si>
    <t>ABAC168</t>
  </si>
  <si>
    <t>1 caja cada 42dia</t>
  </si>
  <si>
    <t>KETCHUP DE 8 CC.</t>
  </si>
  <si>
    <t>ABAC169</t>
  </si>
  <si>
    <t>KETCHUP DE 10 CC.</t>
  </si>
  <si>
    <t>ABAC170</t>
  </si>
  <si>
    <t>LIMONETA DE 8 GR.</t>
  </si>
  <si>
    <t>ABAC171</t>
  </si>
  <si>
    <t>LIMONETA SACHET 10G</t>
  </si>
  <si>
    <t>ABAC172</t>
  </si>
  <si>
    <t>MAYONESA PORTION DE 8 GR.</t>
  </si>
  <si>
    <t>ABAC173</t>
  </si>
  <si>
    <t>1 caja cada 2dia</t>
  </si>
  <si>
    <t>MAYONESA PORTION DE 10 GR.</t>
  </si>
  <si>
    <t>ABAC174</t>
  </si>
  <si>
    <t>MOSTAZA SACHET 8 GR</t>
  </si>
  <si>
    <t>ABAC175</t>
  </si>
  <si>
    <t>1 caja cada 5 dia</t>
  </si>
  <si>
    <t>MOSTAZA SACHET 10GR</t>
  </si>
  <si>
    <t>ABAC176</t>
  </si>
  <si>
    <t>SAL SACHET DE 1 GR</t>
  </si>
  <si>
    <t>ABAC177</t>
  </si>
  <si>
    <t>1 caja cada 7 dia</t>
  </si>
  <si>
    <t>SUCRALOZA SACHET</t>
  </si>
  <si>
    <t>ABAC178</t>
  </si>
  <si>
    <t>Carne de Cerdo</t>
  </si>
  <si>
    <t>CHULETA DE CERDO VETADA</t>
  </si>
  <si>
    <t>CACE001</t>
  </si>
  <si>
    <t>COSTILLAR DE CERDO 79 (CAJA DE 10 KG.)</t>
  </si>
  <si>
    <t>CACE002</t>
  </si>
  <si>
    <t>LOMITO FIESTA 90GR</t>
  </si>
  <si>
    <t>CACE003</t>
  </si>
  <si>
    <t>Desayuno y Colaciones</t>
  </si>
  <si>
    <t>PULPA DE CERDO</t>
  </si>
  <si>
    <t>CACE004</t>
  </si>
  <si>
    <t>Carne de Pavo</t>
  </si>
  <si>
    <t>PECHUGA DE PAVO ENTERA</t>
  </si>
  <si>
    <t>CAPA001</t>
  </si>
  <si>
    <t>Carne Pollo</t>
  </si>
  <si>
    <t>PECHUGA DE POLLO DESHUESADA</t>
  </si>
  <si>
    <t>CAPA002</t>
  </si>
  <si>
    <t>TRUTO CORTO POLLO</t>
  </si>
  <si>
    <t>CAPA003</t>
  </si>
  <si>
    <t>TRUTO CORTO DE PAVO DESHUESADO</t>
  </si>
  <si>
    <t>CAPA004</t>
  </si>
  <si>
    <t>TRUTO ENTERO POLLO</t>
  </si>
  <si>
    <t>CAPA005</t>
  </si>
  <si>
    <t>Carne Vacuno</t>
  </si>
  <si>
    <t>CARNE MOLIDA VACUNO 10% MG.</t>
  </si>
  <si>
    <t>CAVA001</t>
  </si>
  <si>
    <t>CHURRASCO VACUNO 3UN/120 GR. FLOW PACK</t>
  </si>
  <si>
    <t>CAVA002</t>
  </si>
  <si>
    <t>CAVA003</t>
  </si>
  <si>
    <t>GUATA CALLO VACUNO (CJ 13</t>
  </si>
  <si>
    <t>CAVA004</t>
  </si>
  <si>
    <t>CAMARONES</t>
  </si>
  <si>
    <t>CAVA005</t>
  </si>
  <si>
    <t>HIGADO VACUNO (CJ 14 KG.) USA IMPORT.</t>
  </si>
  <si>
    <t>CAVA006</t>
  </si>
  <si>
    <t>LOMO LISO</t>
  </si>
  <si>
    <t>CAVA007</t>
  </si>
  <si>
    <t>LOMO VETADO</t>
  </si>
  <si>
    <t>CAVA008</t>
  </si>
  <si>
    <t>POLLO GANSO  VACIO IMP</t>
  </si>
  <si>
    <t>CAVA009</t>
  </si>
  <si>
    <t>POSTA ROSADA</t>
  </si>
  <si>
    <t>CAVA010</t>
  </si>
  <si>
    <t>SOBRECOSTILLA</t>
  </si>
  <si>
    <t>CAVA011</t>
  </si>
  <si>
    <t>Cecinas</t>
  </si>
  <si>
    <t>MORTADELA JAMONADA</t>
  </si>
  <si>
    <t>CECI001</t>
  </si>
  <si>
    <t>ARROLLADO DE LOMO KG</t>
  </si>
  <si>
    <t>CECI002</t>
  </si>
  <si>
    <t>JAMON DE PAVO ACARAMELADO</t>
  </si>
  <si>
    <t>CECI003</t>
  </si>
  <si>
    <t>JAMON PIERNA</t>
  </si>
  <si>
    <t>CECI004</t>
  </si>
  <si>
    <t>JAMON PRAGA AHUMADO</t>
  </si>
  <si>
    <t>CECI005</t>
  </si>
  <si>
    <t>JAMON SANDWICH CERDO KG</t>
  </si>
  <si>
    <t>CECI006</t>
  </si>
  <si>
    <t>SALAME</t>
  </si>
  <si>
    <t>CECI007</t>
  </si>
  <si>
    <t>Confites Dulces</t>
  </si>
  <si>
    <t>CEREAL ZUCOSOS</t>
  </si>
  <si>
    <t>CFCE001</t>
  </si>
  <si>
    <t>Cada 2 dia Desayuno</t>
  </si>
  <si>
    <t>CEREAL ANILLO FRUTAL</t>
  </si>
  <si>
    <t>CFCE002</t>
  </si>
  <si>
    <t>CEREAL ESFERA CHOCOLATE</t>
  </si>
  <si>
    <t>CFCE003</t>
  </si>
  <si>
    <t>CEREAL ESTRELLA MIEL</t>
  </si>
  <si>
    <t>CFCE004</t>
  </si>
  <si>
    <t>CEREAL HOJUELA CHOCOLATE</t>
  </si>
  <si>
    <t>CFCE005</t>
  </si>
  <si>
    <t>CEREAL ZUCOSOS 800GR</t>
  </si>
  <si>
    <t>CFCE006</t>
  </si>
  <si>
    <t>CEREAL TRIX 800GR</t>
  </si>
  <si>
    <t>CFCE007</t>
  </si>
  <si>
    <t>CEREAL CHOCAPIC 800GR</t>
  </si>
  <si>
    <t>CFCE008</t>
  </si>
  <si>
    <t>GALLETA CARAMEL COSTA 24*150</t>
  </si>
  <si>
    <t>CFDU001</t>
  </si>
  <si>
    <t>GALLETA DE COCO DE 140 GR. COSTA</t>
  </si>
  <si>
    <t>CFDU002</t>
  </si>
  <si>
    <t>GALLETA DE COCO DE 125 GR COSTA</t>
  </si>
  <si>
    <t>CFDU003</t>
  </si>
  <si>
    <t>GALLETA DE LIMON DE 30*120 GR. NESTLE</t>
  </si>
  <si>
    <t>CFDU004</t>
  </si>
  <si>
    <t>GALLETA DE LIMON DE 24*140 GR. CASTA</t>
  </si>
  <si>
    <t>CFDU005</t>
  </si>
  <si>
    <t>GALLETA DE MANTEQUILLA 24*140 GR COSTA</t>
  </si>
  <si>
    <t>CFDU006</t>
  </si>
  <si>
    <t>GALLETA DE CHOCOLATE 24*140 GR COSTA</t>
  </si>
  <si>
    <t>CFDU007</t>
  </si>
  <si>
    <t>GALLETA DE VINO COSTA</t>
  </si>
  <si>
    <t>CFDU008</t>
  </si>
  <si>
    <t>GALLETA DINDON DE 115 GR.</t>
  </si>
  <si>
    <t>CFDU009</t>
  </si>
  <si>
    <t>GALLETA FRAC CLASICA COSTA36 *130 GR.</t>
  </si>
  <si>
    <t>CFDU010</t>
  </si>
  <si>
    <t>GALLETA FRAC BI FRUTILLA COSTA 36*130 GR.</t>
  </si>
  <si>
    <t>CFDU011</t>
  </si>
  <si>
    <t>GALLETA FRAC NARANJA COSTA 36*130 GR.</t>
  </si>
  <si>
    <t>CFDU012</t>
  </si>
  <si>
    <t>GALLETA FRAC CHOCOLATE COSTA 36*130 GR.</t>
  </si>
  <si>
    <t>CFDU013</t>
  </si>
  <si>
    <t>GALLETA FRAC CAPUCCINO COSTA36* 130 GR.</t>
  </si>
  <si>
    <t>CFDU014</t>
  </si>
  <si>
    <t>NKOLO 12X20 24GR</t>
  </si>
  <si>
    <t>CFDU015</t>
  </si>
  <si>
    <t>GALLETA GOLPE 4X30 27GR</t>
  </si>
  <si>
    <t>CFDU016</t>
  </si>
  <si>
    <t>GALLETA TUAREG COCO DE 35X120 GR.</t>
  </si>
  <si>
    <t>CFDU017</t>
  </si>
  <si>
    <t>GALLETA TUAREG DE 35X120 GR. Mango piña</t>
  </si>
  <si>
    <t>CFDU018</t>
  </si>
  <si>
    <t>Confites Salados</t>
  </si>
  <si>
    <t>GALLETAS SELZ DE 35 GR.</t>
  </si>
  <si>
    <t>CFDU019</t>
  </si>
  <si>
    <t>GALLETAS TRITON VAINILLA 30X116 GR</t>
  </si>
  <si>
    <t>CFDU020</t>
  </si>
  <si>
    <t>GALLETAS TRITON CHOCOLATE 30X116 GR</t>
  </si>
  <si>
    <t>CFDU021</t>
  </si>
  <si>
    <t>GALLETAS TRITON NARANJA 30X116 GR</t>
  </si>
  <si>
    <t>CFDU022</t>
  </si>
  <si>
    <t>CEREAL BAR DE 21 GR.</t>
  </si>
  <si>
    <t>CFDU023</t>
  </si>
  <si>
    <t>CHOCMAN 33 GR</t>
  </si>
  <si>
    <t>CFDU024</t>
  </si>
  <si>
    <t>CHOCMAN BLACK DE 33 GR.</t>
  </si>
  <si>
    <t>CFDU025</t>
  </si>
  <si>
    <t>GALLETAS CHOKITA (NEGRITAS) 30GR</t>
  </si>
  <si>
    <t>CFDU026</t>
  </si>
  <si>
    <t>GOLAZO DE 25 GR.</t>
  </si>
  <si>
    <t>CFDU027</t>
  </si>
  <si>
    <t>INKAT 26 GRS.</t>
  </si>
  <si>
    <t>CFDU028</t>
  </si>
  <si>
    <t>SANNE NUSS 12(20*14GR)</t>
  </si>
  <si>
    <t>CFDU029</t>
  </si>
  <si>
    <t>SUPER 8</t>
  </si>
  <si>
    <t>CFDU030</t>
  </si>
  <si>
    <t>TUYO</t>
  </si>
  <si>
    <t>CFDU031</t>
  </si>
  <si>
    <t>TRENCITO 12(20*14GR)</t>
  </si>
  <si>
    <t>CFDU032</t>
  </si>
  <si>
    <t>SAHNE NUSS 8(30*30GR)</t>
  </si>
  <si>
    <t>CFDU033</t>
  </si>
  <si>
    <t>TRENCITO 8(30*24GR)</t>
  </si>
  <si>
    <t>CFDU034</t>
  </si>
  <si>
    <t>Alim.congelados</t>
  </si>
  <si>
    <t>ARVEJAS GRANOS CONGELADAS 15K</t>
  </si>
  <si>
    <t>CONG001</t>
  </si>
  <si>
    <t>BROCOLI CONGELADO</t>
  </si>
  <si>
    <t>CONG002</t>
  </si>
  <si>
    <t>CHAMPIÑON LAMINADO CONG KG</t>
  </si>
  <si>
    <t>CONG003</t>
  </si>
  <si>
    <t>CHOCLO EN GRANO DE 2K X 8</t>
  </si>
  <si>
    <t>CONG004</t>
  </si>
  <si>
    <t>CHOCLO EN TROZO DE 2K X 6</t>
  </si>
  <si>
    <t>CONG005</t>
  </si>
  <si>
    <t>COLIFLOR CONGELADA</t>
  </si>
  <si>
    <t>CONG006</t>
  </si>
  <si>
    <t>ENSALADA LISTA</t>
  </si>
  <si>
    <t>CONG007</t>
  </si>
  <si>
    <t>HABAS GRANO CONGELADA</t>
  </si>
  <si>
    <t>CONG008</t>
  </si>
  <si>
    <t>LENTEJAS CONGELADAS</t>
  </si>
  <si>
    <t>CONG009</t>
  </si>
  <si>
    <t>PAPAS DUQUESA</t>
  </si>
  <si>
    <t>CONG010</t>
  </si>
  <si>
    <t>PAPAS GAJO CON PIEL 4 X 2.5 KG.</t>
  </si>
  <si>
    <t>CONG011</t>
  </si>
  <si>
    <t>PAPAS PRE-FRITAS BASTON DE 12 X 12 MM.</t>
  </si>
  <si>
    <t>CONG012</t>
  </si>
  <si>
    <t>PASTELERA DE CHOCLO 10 KG.</t>
  </si>
  <si>
    <t>CONG013</t>
  </si>
  <si>
    <t>PIMENTON EN CUBO</t>
  </si>
  <si>
    <t>CONG014</t>
  </si>
  <si>
    <t>POROTO GRANADO 15x1KG</t>
  </si>
  <si>
    <t>CONG015</t>
  </si>
  <si>
    <t>POROTOS VERDE (CORTE FRANCES)</t>
  </si>
  <si>
    <t>CONG016</t>
  </si>
  <si>
    <t>PURE DE PALTA CONGELADO</t>
  </si>
  <si>
    <t>CONG017</t>
  </si>
  <si>
    <t>SHAPSUI 9X1KG</t>
  </si>
  <si>
    <t>CONG018</t>
  </si>
  <si>
    <t>ZAPALLO EN CUBO FRIZADOS</t>
  </si>
  <si>
    <t>CONG019</t>
  </si>
  <si>
    <t>ENS. PRIVAMERA RUSA 14X1KL</t>
  </si>
  <si>
    <t>CONG020</t>
  </si>
  <si>
    <t>ZANAHORIA CUBO FOOD SERVICE</t>
  </si>
  <si>
    <t>CONG021</t>
  </si>
  <si>
    <t>CEBOLLA CUBO FOOD SERVICE</t>
  </si>
  <si>
    <t>CONG022</t>
  </si>
  <si>
    <t>FRUTILLA FOOD SERVICE</t>
  </si>
  <si>
    <t>CONG023</t>
  </si>
  <si>
    <t>FRAMBUESA FOOD SERVICE</t>
  </si>
  <si>
    <t>CONG024</t>
  </si>
  <si>
    <t>ESPARRAGOS 9*1</t>
  </si>
  <si>
    <t>CONG025</t>
  </si>
  <si>
    <t>MIX PIMENTON 12*1</t>
  </si>
  <si>
    <t>CONG026</t>
  </si>
  <si>
    <t>Croquetas</t>
  </si>
  <si>
    <t>CROQUETA DE POLLO DE 80 GR</t>
  </si>
  <si>
    <t>CROQ001</t>
  </si>
  <si>
    <t>Colaciones 3 por pan</t>
  </si>
  <si>
    <t>REBOZADO DE POLLO 100 GRS.</t>
  </si>
  <si>
    <t>CROQ002</t>
  </si>
  <si>
    <t xml:space="preserve">Desayuno </t>
  </si>
  <si>
    <t>Embutidos</t>
  </si>
  <si>
    <t>CHORIZO 1 KG.</t>
  </si>
  <si>
    <t>EMB001</t>
  </si>
  <si>
    <t>LONGANIZA KG</t>
  </si>
  <si>
    <t>EMB002</t>
  </si>
  <si>
    <t>PRIETA</t>
  </si>
  <si>
    <t>EMB003</t>
  </si>
  <si>
    <t>UNID</t>
  </si>
  <si>
    <t>SALCHICHA SUREÑA</t>
  </si>
  <si>
    <t>EMB004</t>
  </si>
  <si>
    <t>Frutas Frescas</t>
  </si>
  <si>
    <t>MANZANA ROJA</t>
  </si>
  <si>
    <t>FRUT001</t>
  </si>
  <si>
    <t>Almuerzo Cena y Colaciones</t>
  </si>
  <si>
    <t>MANZANA VERDE</t>
  </si>
  <si>
    <t>FRUT002</t>
  </si>
  <si>
    <t>FRUT003</t>
  </si>
  <si>
    <t>MANDARINA</t>
  </si>
  <si>
    <t>FRUT004</t>
  </si>
  <si>
    <t>FRUT005</t>
  </si>
  <si>
    <t xml:space="preserve"> almuerzo cena </t>
  </si>
  <si>
    <t>UVA</t>
  </si>
  <si>
    <t>FRUT006</t>
  </si>
  <si>
    <t>FRUT007</t>
  </si>
  <si>
    <t>FRUT008</t>
  </si>
  <si>
    <t>SANDIA</t>
  </si>
  <si>
    <t>FRUT009</t>
  </si>
  <si>
    <t>FRUT010</t>
  </si>
  <si>
    <t>MELON</t>
  </si>
  <si>
    <t>FRUT011</t>
  </si>
  <si>
    <t>Hamburguesa</t>
  </si>
  <si>
    <t>HAMBURGUESA TRADICIONAL 50 GR X 56 UN. KING</t>
  </si>
  <si>
    <t>HAMB001</t>
  </si>
  <si>
    <t>HAMBURGUESA VACUNO 185 GR.  40 UN KING</t>
  </si>
  <si>
    <t>HAMB002</t>
  </si>
  <si>
    <t>Cena</t>
  </si>
  <si>
    <t>Huevos</t>
  </si>
  <si>
    <t>HUEVOS</t>
  </si>
  <si>
    <t>HUE001</t>
  </si>
  <si>
    <t>Resposteria, cosina caliente el desayuno tolos ños dia</t>
  </si>
  <si>
    <t>Lácteos Cremas</t>
  </si>
  <si>
    <t>CREMA VEGETAL</t>
  </si>
  <si>
    <t>LACC001</t>
  </si>
  <si>
    <t xml:space="preserve">LECHE CONDENSADA 3LT </t>
  </si>
  <si>
    <t>LACC002</t>
  </si>
  <si>
    <t>Lácteos Leches</t>
  </si>
  <si>
    <t>LECHE EN POLVO 26%</t>
  </si>
  <si>
    <t>LACL001</t>
  </si>
  <si>
    <t>Lácteos Quesos</t>
  </si>
  <si>
    <t>QUESO GAUDA BARRA KG. IMPORTADO</t>
  </si>
  <si>
    <t>LACL003</t>
  </si>
  <si>
    <t>QUESO PARMESANO RALLADO BIDFOOD</t>
  </si>
  <si>
    <t>LACL004</t>
  </si>
  <si>
    <t>Lácteos Yogurt</t>
  </si>
  <si>
    <t>YOGURTH VARIEDADES</t>
  </si>
  <si>
    <t>LACL006</t>
  </si>
  <si>
    <t>Desayuno</t>
  </si>
  <si>
    <t>CHOCOLATE SICAO 8 GR</t>
  </si>
  <si>
    <t>LACL007</t>
  </si>
  <si>
    <t>Vino,licores y cerveza</t>
  </si>
  <si>
    <t>VINO BLANCO</t>
  </si>
  <si>
    <t>LILC01</t>
  </si>
  <si>
    <t>Cada 3 semana reposteria</t>
  </si>
  <si>
    <t>VINO TINTO</t>
  </si>
  <si>
    <t>LILC02</t>
  </si>
  <si>
    <t>Agua con y sin sabor</t>
  </si>
  <si>
    <t>AGUA CON SABOR  DE 500 CC</t>
  </si>
  <si>
    <t>LIQA001</t>
  </si>
  <si>
    <t>AGUA SIN GAS DE 500 CC</t>
  </si>
  <si>
    <t>LIQA002</t>
  </si>
  <si>
    <t>AGUA MINERAL CON GAS DE 1,500 LT</t>
  </si>
  <si>
    <t>LIQA003</t>
  </si>
  <si>
    <t>AGUA MINERAL SIN GAS DE 1,500 LT</t>
  </si>
  <si>
    <t>LIQA004</t>
  </si>
  <si>
    <t>BEBIDAS</t>
  </si>
  <si>
    <t>Bebidas</t>
  </si>
  <si>
    <t>COCA COLA</t>
  </si>
  <si>
    <t>LIQA005</t>
  </si>
  <si>
    <t>COCA COLA ZERO</t>
  </si>
  <si>
    <t>LIQA006</t>
  </si>
  <si>
    <t>FANTA</t>
  </si>
  <si>
    <t>LIQA007</t>
  </si>
  <si>
    <t>SPRITE</t>
  </si>
  <si>
    <t>LIQA008</t>
  </si>
  <si>
    <t>Agua en Bidones</t>
  </si>
  <si>
    <t>AGUA EN BIDON DE 20 LT.</t>
  </si>
  <si>
    <t>LIQBI001</t>
  </si>
  <si>
    <t>Jugos líquidos</t>
  </si>
  <si>
    <t>JUGO DE 1 LT</t>
  </si>
  <si>
    <t>LIQJ001</t>
  </si>
  <si>
    <t>JUGO DE 200 ML</t>
  </si>
  <si>
    <t>LIQJ002</t>
  </si>
  <si>
    <t>Pan Elaborado</t>
  </si>
  <si>
    <t>EMPANADA PINO CLASICA</t>
  </si>
  <si>
    <t>PAN001</t>
  </si>
  <si>
    <t>HALLULLA 12 KG</t>
  </si>
  <si>
    <t>PAN002</t>
  </si>
  <si>
    <t>CHAPARRITA QUESO JAMON</t>
  </si>
  <si>
    <t>PAN003</t>
  </si>
  <si>
    <t>CHAPARRITA VIENESA QUESO</t>
  </si>
  <si>
    <t>PAN004</t>
  </si>
  <si>
    <t>SOPAIPILLA 9 CM</t>
  </si>
  <si>
    <t>PAN005</t>
  </si>
  <si>
    <t>Pan y materias primas</t>
  </si>
  <si>
    <t>HARINA 25 KG.</t>
  </si>
  <si>
    <t>PAN006</t>
  </si>
  <si>
    <t>Desayuno Almuerzo y Cena</t>
  </si>
  <si>
    <t>HARINA PASTELERA</t>
  </si>
  <si>
    <t>PAN007</t>
  </si>
  <si>
    <t>LEVADURA SAF 20 X 500 GR.</t>
  </si>
  <si>
    <t>PAN008</t>
  </si>
  <si>
    <t>MANTECA 10 X 1 KG.</t>
  </si>
  <si>
    <t>PAN009</t>
  </si>
  <si>
    <t>MANTEQUILLA SAL 250 GRS</t>
  </si>
  <si>
    <t>PAN010</t>
  </si>
  <si>
    <t>Desayuno y reposteria</t>
  </si>
  <si>
    <t>MARGARINA PAMPERITA DE  1 KG.</t>
  </si>
  <si>
    <t>PAN011</t>
  </si>
  <si>
    <t>PATE</t>
  </si>
  <si>
    <t>PAN012</t>
  </si>
  <si>
    <t>HARINA INTEGRAL FINA 10KG</t>
  </si>
  <si>
    <t>PAN013</t>
  </si>
  <si>
    <t>FAJITAS 1*12</t>
  </si>
  <si>
    <t>PAN014</t>
  </si>
  <si>
    <t>Hipocolorico cuando hay en la minuta</t>
  </si>
  <si>
    <t>DULCE DE MENBRILLO 1KG</t>
  </si>
  <si>
    <t>PAN015</t>
  </si>
  <si>
    <t>TOCINO LAMINADO</t>
  </si>
  <si>
    <t>PAN016</t>
  </si>
  <si>
    <t>GRASA PAMPERO</t>
  </si>
  <si>
    <t>PAN017</t>
  </si>
  <si>
    <t>Postres Repostería</t>
  </si>
  <si>
    <t>ENREJADO RELLENO FRAMBUESA QUESO*110 UND</t>
  </si>
  <si>
    <t>POSR001</t>
  </si>
  <si>
    <t>Desayuno y cena</t>
  </si>
  <si>
    <t>MINI REJILLA FRUTILLA 100*40 GR</t>
  </si>
  <si>
    <t>POSR002</t>
  </si>
  <si>
    <t>MINI REJILLA CHOCOLATE 110*400</t>
  </si>
  <si>
    <t>POSR003</t>
  </si>
  <si>
    <t>MINI REJILLA MANZANA* 110*400</t>
  </si>
  <si>
    <t>POSR004</t>
  </si>
  <si>
    <t>MINI REJILLA MANJAR* 110 UND</t>
  </si>
  <si>
    <t>POSR005</t>
  </si>
  <si>
    <t>MINI REJILLA PIE LIMON *110 UND</t>
  </si>
  <si>
    <t>POSR006</t>
  </si>
  <si>
    <t>BERLINE RELLENA DE  CHOCOLATE</t>
  </si>
  <si>
    <t>POSR007</t>
  </si>
  <si>
    <t>BERLINE RELLENA DE  CARAMELO</t>
  </si>
  <si>
    <t>POSR008</t>
  </si>
  <si>
    <t>MEDIA LUNA ARGENTINA</t>
  </si>
  <si>
    <t>POSR009</t>
  </si>
  <si>
    <t>Helados y Pulpas</t>
  </si>
  <si>
    <t>HELADO DE PIÑA SABORY LITROS</t>
  </si>
  <si>
    <t>POSR010</t>
  </si>
  <si>
    <t>HELADO DE VAINILLA SABORY LITROS</t>
  </si>
  <si>
    <t>POSR011</t>
  </si>
  <si>
    <t>GRANADINA BOTELLAS</t>
  </si>
  <si>
    <t>POSR012</t>
  </si>
  <si>
    <t>Pescados y Mariscos</t>
  </si>
  <si>
    <t>MARISCOS SURTIDOS SILVER 5 X 1 KG. BOLSA</t>
  </si>
  <si>
    <t>POSR013</t>
  </si>
  <si>
    <t>PANGASIUS FILETE  120/170 GR. 5 X 1 KG.</t>
  </si>
  <si>
    <t>POSR014</t>
  </si>
  <si>
    <t>Preparados</t>
  </si>
  <si>
    <t>TRUTRO DE POLLO ARVEJADO</t>
  </si>
  <si>
    <t>RNF001</t>
  </si>
  <si>
    <t xml:space="preserve">TRUTRO DE POLLO ASADO </t>
  </si>
  <si>
    <t>RNF002</t>
  </si>
  <si>
    <t>CHULETA VETADA AL JUGO</t>
  </si>
  <si>
    <t>RNF003</t>
  </si>
  <si>
    <t>GOULASH DE VACUNO</t>
  </si>
  <si>
    <t>RNF004</t>
  </si>
  <si>
    <t>RAGOUT MIXTO</t>
  </si>
  <si>
    <t>RNF005</t>
  </si>
  <si>
    <t>RAGOUT CERDO</t>
  </si>
  <si>
    <t>RNF006</t>
  </si>
  <si>
    <t>ARVEJA GUISADA</t>
  </si>
  <si>
    <t>RNF007</t>
  </si>
  <si>
    <t xml:space="preserve">LENTEJAS </t>
  </si>
  <si>
    <t>RNF008</t>
  </si>
  <si>
    <t>TOMATICAN DE RES</t>
  </si>
  <si>
    <t>RNF009</t>
  </si>
  <si>
    <t>STROGONOFF DE RES</t>
  </si>
  <si>
    <t>RNF010</t>
  </si>
  <si>
    <t>GUATITA PRIMAVERA</t>
  </si>
  <si>
    <t>RNF011</t>
  </si>
  <si>
    <t>HIGADO AL AJILLO</t>
  </si>
  <si>
    <t>RNF012</t>
  </si>
  <si>
    <t>POROTOS GRANADOS</t>
  </si>
  <si>
    <t>RNF013</t>
  </si>
  <si>
    <t>RNF014</t>
  </si>
  <si>
    <t>PECHUGA DE POLLO ARVEJADOS</t>
  </si>
  <si>
    <t>RNF015</t>
  </si>
  <si>
    <t>PECHUGA DE POLLO EN SALSA CHAMPIÑONES</t>
  </si>
  <si>
    <t>RNF016</t>
  </si>
  <si>
    <t>POLLO ARVEJADO</t>
  </si>
  <si>
    <t>RNF017</t>
  </si>
  <si>
    <t>CHAPSUI DE POLLO</t>
  </si>
  <si>
    <t>RNF018</t>
  </si>
  <si>
    <t>CHAPSUI DE VACUNO</t>
  </si>
  <si>
    <t>RNF019</t>
  </si>
  <si>
    <t>CHAPSUI DE CERDO</t>
  </si>
  <si>
    <t>RNF020</t>
  </si>
  <si>
    <t>GOULASH MIX</t>
  </si>
  <si>
    <t>RNF021</t>
  </si>
  <si>
    <t>CARBONADA DE POLLO</t>
  </si>
  <si>
    <t>RNF022</t>
  </si>
  <si>
    <t>CARBONADA DE VACUNO</t>
  </si>
  <si>
    <t>RNF023</t>
  </si>
  <si>
    <t>CHARQUICAN VACUNO</t>
  </si>
  <si>
    <t>RNF024</t>
  </si>
  <si>
    <t>CHARQUICAN DE VERDURAS</t>
  </si>
  <si>
    <t>RNF025</t>
  </si>
  <si>
    <t>ESTOFADO DE VACUNO</t>
  </si>
  <si>
    <t>RNF026</t>
  </si>
  <si>
    <t>SALTEADO DE POLLO</t>
  </si>
  <si>
    <t>RNF027</t>
  </si>
  <si>
    <t>CARNE  AL JUGO</t>
  </si>
  <si>
    <t>RNF028</t>
  </si>
  <si>
    <t>CARNE MONGONIANO</t>
  </si>
  <si>
    <t>RNF029</t>
  </si>
  <si>
    <t>VACUNO A LA CASEROLA</t>
  </si>
  <si>
    <t>RNF030</t>
  </si>
  <si>
    <t>VACUNO AL VINO TINTO</t>
  </si>
  <si>
    <t>RNF031</t>
  </si>
  <si>
    <t>VACUNO ARVEJADOS</t>
  </si>
  <si>
    <t>RNF032</t>
  </si>
  <si>
    <t>VACUNO ASADO</t>
  </si>
  <si>
    <t>RNF033</t>
  </si>
  <si>
    <t>VACUNO GRILLE</t>
  </si>
  <si>
    <t>RNF034</t>
  </si>
  <si>
    <t>CERDO  GRILLE</t>
  </si>
  <si>
    <t>CHORRELLANA</t>
  </si>
  <si>
    <t>RNF035</t>
  </si>
  <si>
    <t>CHORRELLANA MIX</t>
  </si>
  <si>
    <t>RNF036</t>
  </si>
  <si>
    <t>AJIACO DE AVE</t>
  </si>
  <si>
    <t>RNF037</t>
  </si>
  <si>
    <t>AJIACO DE VACUNO</t>
  </si>
  <si>
    <t>RNF038</t>
  </si>
  <si>
    <t>AJIACO MIXTO</t>
  </si>
  <si>
    <t>RNF039</t>
  </si>
  <si>
    <t>CERDO AL JUGO</t>
  </si>
  <si>
    <t>RNF040</t>
  </si>
  <si>
    <t>SALSA ALFREDO</t>
  </si>
  <si>
    <t>RNF041</t>
  </si>
  <si>
    <t>SALSA BOLOÑESA</t>
  </si>
  <si>
    <t>RNF042</t>
  </si>
  <si>
    <t xml:space="preserve"> </t>
  </si>
  <si>
    <t>SALSA ITALIANA</t>
  </si>
  <si>
    <t>RNF043</t>
  </si>
  <si>
    <t xml:space="preserve">PASTEL DE PAPA </t>
  </si>
  <si>
    <t>RNF044</t>
  </si>
  <si>
    <t>PASTEL DE CHOCLO</t>
  </si>
  <si>
    <t>RNF045</t>
  </si>
  <si>
    <t>PAVO AL HORNO</t>
  </si>
  <si>
    <t>RNF046</t>
  </si>
  <si>
    <t>Verduras Frescas</t>
  </si>
  <si>
    <t>ACEITUNA 1KG</t>
  </si>
  <si>
    <t>VERD001</t>
  </si>
  <si>
    <t>ACELGA (KG)</t>
  </si>
  <si>
    <t>VERD002</t>
  </si>
  <si>
    <t>AJI VERDE KG AGRO</t>
  </si>
  <si>
    <t>VERD003</t>
  </si>
  <si>
    <t>ALBAHACA (ATADO)</t>
  </si>
  <si>
    <t>VERD004</t>
  </si>
  <si>
    <t>APIO (ATADO)</t>
  </si>
  <si>
    <t>VERD005</t>
  </si>
  <si>
    <t>BETARRAGA</t>
  </si>
  <si>
    <t>VERD006</t>
  </si>
  <si>
    <t>CEBOLLA</t>
  </si>
  <si>
    <t>VERD007</t>
  </si>
  <si>
    <t>CEBOLLA MORADA</t>
  </si>
  <si>
    <t>VERD008</t>
  </si>
  <si>
    <t>CEBOLLIN</t>
  </si>
  <si>
    <t>VERD009</t>
  </si>
  <si>
    <t>CILANTRO</t>
  </si>
  <si>
    <t>VERD010</t>
  </si>
  <si>
    <t>ESPINACA</t>
  </si>
  <si>
    <t>VERD011</t>
  </si>
  <si>
    <t>COCHAYUYO</t>
  </si>
  <si>
    <t>VERD012</t>
  </si>
  <si>
    <t>ROMERO</t>
  </si>
  <si>
    <t>VERD013</t>
  </si>
  <si>
    <t>LECHUGA HIDROPONICA</t>
  </si>
  <si>
    <t>VERD014</t>
  </si>
  <si>
    <t>LIMON (KG.)</t>
  </si>
  <si>
    <t>VERD015</t>
  </si>
  <si>
    <t xml:space="preserve">LIMON VERDE (KG.) </t>
  </si>
  <si>
    <t>VERD016</t>
  </si>
  <si>
    <t xml:space="preserve">PALTA NATURAL </t>
  </si>
  <si>
    <t>VERD017</t>
  </si>
  <si>
    <t>PAPAS (KG.)</t>
  </si>
  <si>
    <t>VERD018</t>
  </si>
  <si>
    <t>PEPINO ENSALADA (KG.)</t>
  </si>
  <si>
    <t>VERD019</t>
  </si>
  <si>
    <t>PEREJIL</t>
  </si>
  <si>
    <t>VERD020</t>
  </si>
  <si>
    <t>LAUREL</t>
  </si>
  <si>
    <t>VERD021</t>
  </si>
  <si>
    <t>JENGIBRE</t>
  </si>
  <si>
    <t>REPOLLO MORADO</t>
  </si>
  <si>
    <t>VERD022</t>
  </si>
  <si>
    <t>REPOLLO VERDE</t>
  </si>
  <si>
    <t>VERD023</t>
  </si>
  <si>
    <t>TOMATE (KG.)</t>
  </si>
  <si>
    <t>VERD024</t>
  </si>
  <si>
    <t>TOMATECHERRY (KG)</t>
  </si>
  <si>
    <t>VERD025</t>
  </si>
  <si>
    <t>ZANAHORIA</t>
  </si>
  <si>
    <t>VERD026</t>
  </si>
  <si>
    <t>ZAPALLO CAMOTE (KG.)</t>
  </si>
  <si>
    <t>VERD027</t>
  </si>
  <si>
    <t>ZAPALLO ITALIANO (KG.)</t>
  </si>
  <si>
    <t>VERD028</t>
  </si>
  <si>
    <t>CHOCLO UND</t>
  </si>
  <si>
    <t>VERD029</t>
  </si>
  <si>
    <t>PIMENTON VARIEDADES</t>
  </si>
  <si>
    <t>VERD030</t>
  </si>
  <si>
    <t>Aseo Desinfección</t>
  </si>
  <si>
    <t>CLORO EN POLVO KG</t>
  </si>
  <si>
    <t>ASDE001</t>
  </si>
  <si>
    <t>LIMEAWAY  20 KG (1 BALDE)</t>
  </si>
  <si>
    <t>ASDE002</t>
  </si>
  <si>
    <t>DESENGRASANTE 20 KG GREASE CUTTER PLUS</t>
  </si>
  <si>
    <t>ASDE003</t>
  </si>
  <si>
    <t>DETERGENTE SCOUT 2-2GL    (7</t>
  </si>
  <si>
    <t>ASDE004</t>
  </si>
  <si>
    <t>ENDURE 5X950 ML</t>
  </si>
  <si>
    <t>ASDE005</t>
  </si>
  <si>
    <t xml:space="preserve">CARE-TAB ( PASTILLA AZUL) </t>
  </si>
  <si>
    <t>ASDE006</t>
  </si>
  <si>
    <t xml:space="preserve">REINIGER- TAB (PASTILLA VERDE) </t>
  </si>
  <si>
    <t>ASDE007</t>
  </si>
  <si>
    <t xml:space="preserve">REINIGER- TAB (PASTILLA  ROJA) </t>
  </si>
  <si>
    <t>ASDE008</t>
  </si>
  <si>
    <t>TRICLOSAN JABON  950 ML</t>
  </si>
  <si>
    <t>ASDE009</t>
  </si>
  <si>
    <t>GEMSTAR PULSAR CERA PISO</t>
  </si>
  <si>
    <t>ASDE010</t>
  </si>
  <si>
    <t>MG QUAT</t>
  </si>
  <si>
    <t>ASDE011</t>
  </si>
  <si>
    <t>SINK SURFACE CLEANER SANITICER</t>
  </si>
  <si>
    <t>ASDE012</t>
  </si>
  <si>
    <t>QUIK FILL 310</t>
  </si>
  <si>
    <t>ASDE013</t>
  </si>
  <si>
    <t>QUIK FILL 960 *20 LT.</t>
  </si>
  <si>
    <t>ASDE014</t>
  </si>
  <si>
    <t>QUIK FILL 320 *20 LT.</t>
  </si>
  <si>
    <t>ASDE015</t>
  </si>
  <si>
    <t>QUIK FILL 540 *20 LT.</t>
  </si>
  <si>
    <t>ASDE017</t>
  </si>
  <si>
    <t>HEAVY DUTY RINSE DRY (adito de enjuague concentrado)</t>
  </si>
  <si>
    <t>ASDE019</t>
  </si>
  <si>
    <t>SUPER TRUMP (detergente concentrado para maquina lavavajillas)</t>
  </si>
  <si>
    <t>ASDE020</t>
  </si>
  <si>
    <t>Aseo General</t>
  </si>
  <si>
    <t>AGUA DESMINERALIZADA</t>
  </si>
  <si>
    <t>ASDE022</t>
  </si>
  <si>
    <t>BARRE AGUA 55 CMS - VTX PRO</t>
  </si>
  <si>
    <t>ASDE023</t>
  </si>
  <si>
    <t>BOLSA BASURA TRANSPARENTE 90x110</t>
  </si>
  <si>
    <t>ASDE024</t>
  </si>
  <si>
    <t>BOLSA DE BASURA 50 X 70</t>
  </si>
  <si>
    <t>ASDE025</t>
  </si>
  <si>
    <t>BOLSA DE BASURA NEGRA DE 70 X 90</t>
  </si>
  <si>
    <t>ASDE026</t>
  </si>
  <si>
    <t>BOLSA DE BASURA NEGRA DE 90 X 110 (1 UND.) carga pesada</t>
  </si>
  <si>
    <t>ASDE027</t>
  </si>
  <si>
    <t>BOLSA DE BASURA NEGRA DE 80 X 110 (1 UND.) carga pesada</t>
  </si>
  <si>
    <t>ASDE028</t>
  </si>
  <si>
    <t>ESCOBILLON</t>
  </si>
  <si>
    <t>ASDE029</t>
  </si>
  <si>
    <t>ESPONJA ABRASIVA</t>
  </si>
  <si>
    <t>ASDE030</t>
  </si>
  <si>
    <t>ESPONJA LISA</t>
  </si>
  <si>
    <t>ASDE031</t>
  </si>
  <si>
    <t>GUANTES AMARILLOS L</t>
  </si>
  <si>
    <t>ASDE032</t>
  </si>
  <si>
    <t>GUANTES AMARILLOS M</t>
  </si>
  <si>
    <t>ASDE033</t>
  </si>
  <si>
    <t>GUANTES AMARILLOS S</t>
  </si>
  <si>
    <t>ASDE034</t>
  </si>
  <si>
    <t>PAÑO ESPONJA SPONGI</t>
  </si>
  <si>
    <t>ASDE035</t>
  </si>
  <si>
    <t>HIGIENICO JUMBO PROMO 6 X 300 (1 UND.)</t>
  </si>
  <si>
    <t>ASDE036</t>
  </si>
  <si>
    <t>MOPA AVION 90 CM</t>
  </si>
  <si>
    <t>ASDE037</t>
  </si>
  <si>
    <t xml:space="preserve">MOPA AVION REPUESTO </t>
  </si>
  <si>
    <t>ASDE038</t>
  </si>
  <si>
    <t>MOPA REDONDA ALGODON</t>
  </si>
  <si>
    <t>ASDE039</t>
  </si>
  <si>
    <t>MOPA ALGODÓN 24 OZ.</t>
  </si>
  <si>
    <t>ASDE040</t>
  </si>
  <si>
    <t>PALA CLASICA (1 UND)</t>
  </si>
  <si>
    <t>ASDE041</t>
  </si>
  <si>
    <t>ATOMISADOR</t>
  </si>
  <si>
    <t>ASDE042</t>
  </si>
  <si>
    <t>PAÑA MULTIUSO ULTRA X40 (1 ROLLO =1 unidad)</t>
  </si>
  <si>
    <t>ASDE043</t>
  </si>
  <si>
    <t>PAÑO MULTIUSO ULTRAx20 (1 ROLLO= 1 unidad)</t>
  </si>
  <si>
    <t>ASDE044</t>
  </si>
  <si>
    <t>TOALLA JUMBO TORK UNIVERSAL H/S 2 X 250 MT. (1 ROLLO)</t>
  </si>
  <si>
    <t>ASDE045</t>
  </si>
  <si>
    <t>TOALLA JUMBO  2 X 190 MT. (1 ROLLO)</t>
  </si>
  <si>
    <t>ASDE046</t>
  </si>
  <si>
    <t>TRAPERO DOBLE CON OJAL 50 X 45 CM (1 UND)</t>
  </si>
  <si>
    <t>ASDE047</t>
  </si>
  <si>
    <t>LAVALOZA 5 LTS</t>
  </si>
  <si>
    <t>LAVALOZA INDUSTRIAL DEFORT 5X2</t>
  </si>
  <si>
    <t>Desechable contenedores</t>
  </si>
  <si>
    <t>CONTENEDOR ALUBAK C 5 N  (2X2000)</t>
  </si>
  <si>
    <t>DCON001</t>
  </si>
  <si>
    <t>CONTENEDOR ALUM. C-10 LT.  C/TAPA 50 X 20 CM. 1X1000 (1 UND)</t>
  </si>
  <si>
    <t>DCON002</t>
  </si>
  <si>
    <t>poca salida cada 3 semana</t>
  </si>
  <si>
    <t>CONTENEDOR ALUMINIO C-18L CON TAPA 30 X 20</t>
  </si>
  <si>
    <t>DCON003</t>
  </si>
  <si>
    <t>CONTENEDOR ALUMINIO C-20L CON TAPA 40 X 20 (800 UND.)</t>
  </si>
  <si>
    <t>DCON004</t>
  </si>
  <si>
    <t>Cada 3 dia</t>
  </si>
  <si>
    <t>CONTENEDOR ALUMINIO C-25/2L  C/TAPA 30 X 20 (600 UND.)</t>
  </si>
  <si>
    <t>DCON005</t>
  </si>
  <si>
    <t>CONTENEDOR ALUMINIO C-5L CON TAPA 50 X 20</t>
  </si>
  <si>
    <t>DCON006</t>
  </si>
  <si>
    <t>CONTENEDOR ALUMINIO R-50  1X540 (1 UND.)</t>
  </si>
  <si>
    <t>DCON007</t>
  </si>
  <si>
    <t>PLATO BOWL KRAFT S/TAPA</t>
  </si>
  <si>
    <t>DCON008</t>
  </si>
  <si>
    <t>TAPA BOWL KRAFT 1300CC*300UNID</t>
  </si>
  <si>
    <t>DCON009</t>
  </si>
  <si>
    <t>TAPA CARTON ALUBAK C 5 N</t>
  </si>
  <si>
    <t>DCON010</t>
  </si>
  <si>
    <t>TAPA CONTENEDOR ALUMINIO R-50</t>
  </si>
  <si>
    <t>DCON011</t>
  </si>
  <si>
    <t>Cada 3 semana</t>
  </si>
  <si>
    <t>CONTENEDOR ALUMINIO R-40</t>
  </si>
  <si>
    <t>DCON012</t>
  </si>
  <si>
    <t>Desechable Cubiertos</t>
  </si>
  <si>
    <t>CUCHARA DE SOPA DESECHABLE</t>
  </si>
  <si>
    <t>DCON013</t>
  </si>
  <si>
    <t>Cada 3 Semana</t>
  </si>
  <si>
    <t>CUCHARA TE/CAFE 100 X 20 (1 UND)</t>
  </si>
  <si>
    <t>DCON014</t>
  </si>
  <si>
    <t>CUCHILLO ESTANDAR BLANCO</t>
  </si>
  <si>
    <t>DCON015</t>
  </si>
  <si>
    <t>PACK CUBIERTOS MADERA</t>
  </si>
  <si>
    <t>DCON016</t>
  </si>
  <si>
    <t>2 caja cada 2 semana</t>
  </si>
  <si>
    <t>TENEDOR STANDARD BLANCO 10 X 100</t>
  </si>
  <si>
    <t>DCON017</t>
  </si>
  <si>
    <t>Desechable General</t>
  </si>
  <si>
    <t>ALUSA ALUMINIO</t>
  </si>
  <si>
    <t>DCON018</t>
  </si>
  <si>
    <t>Colaciones todo los dia</t>
  </si>
  <si>
    <t>BOLSA CAMISETA DE 40 X 50 CM.  1X100 UND. (1 UND.)</t>
  </si>
  <si>
    <t>DCON019</t>
  </si>
  <si>
    <t>BOLSA CAMISETA DE 50 X 60 CM.  1X100 UND. (1 UND.)</t>
  </si>
  <si>
    <t>DCON020</t>
  </si>
  <si>
    <t>Colaciones</t>
  </si>
  <si>
    <t>BOLSA CAMISETA DE 32 X 35 CM.  1X100 UND. (1 UND.)</t>
  </si>
  <si>
    <t>DCON021</t>
  </si>
  <si>
    <t>BOLSA MONEDA 12 X 25 CM.   1 X 1.000 UND. (1 UND)</t>
  </si>
  <si>
    <t>DCON022</t>
  </si>
  <si>
    <t>ROLLO FILL PVC 28 CM</t>
  </si>
  <si>
    <t>DCON023</t>
  </si>
  <si>
    <t>Cada 4 dia</t>
  </si>
  <si>
    <t>FILM PALETIZADOR</t>
  </si>
  <si>
    <t>DCON024</t>
  </si>
  <si>
    <t>GORRO CLIP EN BOLSA EXAMCARE 1 X 100 UN. (1 UND.)</t>
  </si>
  <si>
    <t>DCON025</t>
  </si>
  <si>
    <t>Cada 2 dia</t>
  </si>
  <si>
    <t>GUANTE VINILO NITRO GLOVE TALLA L  1X100 (1 PAQ.)</t>
  </si>
  <si>
    <t>DCON026</t>
  </si>
  <si>
    <t>cada 2 dia</t>
  </si>
  <si>
    <t>GUANTE VINILO NITRO GLOVE TALLA M 1X100 (1 PAQ.)</t>
  </si>
  <si>
    <t>DCON027</t>
  </si>
  <si>
    <t>GUANTE VINILO NITRO GLOVE TALLA S 1X100 (1 PAQ.)</t>
  </si>
  <si>
    <t>DCON028</t>
  </si>
  <si>
    <t>MASCARILLA CIRUJANO 1 X 50 UND.   (1 PAQ.)</t>
  </si>
  <si>
    <t>DCON029</t>
  </si>
  <si>
    <t>cada 3 dia</t>
  </si>
  <si>
    <t>PAPEL MANTEQUILLA ALUSA</t>
  </si>
  <si>
    <t>DCON030</t>
  </si>
  <si>
    <t>ROLLO PREPICADO 20 X 30 (4</t>
  </si>
  <si>
    <t>DCON031</t>
  </si>
  <si>
    <t>ROLLO PREPICADO 30 X 40 (4</t>
  </si>
  <si>
    <t>DCON032</t>
  </si>
  <si>
    <t>SERVILLETA COCKTAIL 12 X 200 UND. (1 PAQUETE)</t>
  </si>
  <si>
    <t>DCON033</t>
  </si>
  <si>
    <t>SERVILLETA COCKTAIL 12 X 300 UND. (1 PAQUETE)</t>
  </si>
  <si>
    <t>DCON034</t>
  </si>
  <si>
    <t>BOLSA CAMISETA 32*35 CM</t>
  </si>
  <si>
    <t>DCON035</t>
  </si>
  <si>
    <t>Desechable pocillos</t>
  </si>
  <si>
    <t>POCILLO C/TAPA *1 OZ</t>
  </si>
  <si>
    <t>DCON036</t>
  </si>
  <si>
    <t>POTE BISAGRA LISO 225GR</t>
  </si>
  <si>
    <t>DCON037</t>
  </si>
  <si>
    <t>Rçeposteria y hipocalorico</t>
  </si>
  <si>
    <t>POTE COPA 200 CC GELATERIA</t>
  </si>
  <si>
    <t>DCON038</t>
  </si>
  <si>
    <t>TAPA POTE TRANSP. (PP) 180-200-250 CC</t>
  </si>
  <si>
    <t>DCON039</t>
  </si>
  <si>
    <t>Cada 2 dia reposteria</t>
  </si>
  <si>
    <t>POTE ENVASE FACETADO 200 CC</t>
  </si>
  <si>
    <t>DCON040</t>
  </si>
  <si>
    <t>TEPA ENVASE FACETADO</t>
  </si>
  <si>
    <t>DCON041</t>
  </si>
  <si>
    <t>Desechable vasos</t>
  </si>
  <si>
    <t>VASO PLASTICO 10 OZ.300cc</t>
  </si>
  <si>
    <t>DCON042</t>
  </si>
  <si>
    <t>Cada 2 senama</t>
  </si>
  <si>
    <t>VASO TERMICO DE 8 OZ. 240 CC</t>
  </si>
  <si>
    <t>DCON043</t>
  </si>
  <si>
    <t>Cada 3 semna</t>
  </si>
  <si>
    <t>TOTAL</t>
  </si>
  <si>
    <t xml:space="preserve">ALIM CONGELADOS FRUTAS Y VERDURAS                           </t>
  </si>
  <si>
    <t xml:space="preserve">HELADOS Y PULPAS                                            </t>
  </si>
  <si>
    <t xml:space="preserve">JUGOS LÍQUIDOS                                              </t>
  </si>
  <si>
    <t xml:space="preserve">AGUAS CON Y SIN SABOR                                       </t>
  </si>
  <si>
    <t xml:space="preserve">BEBIDAS                                                     </t>
  </si>
  <si>
    <t xml:space="preserve">VINOS,  LICORES Y CERVEZAS                                  </t>
  </si>
  <si>
    <t xml:space="preserve">CARNE DE VACUNO                                             </t>
  </si>
  <si>
    <t xml:space="preserve">CARNE DE CERDO                                              </t>
  </si>
  <si>
    <t xml:space="preserve">CARNE POLLO                                                 </t>
  </si>
  <si>
    <t xml:space="preserve">CARNE PAVO                                                  </t>
  </si>
  <si>
    <t xml:space="preserve">HAMBURGUESAS Y CROQUETAS                                    </t>
  </si>
  <si>
    <t xml:space="preserve">PESCADOS Y MARISCOS CONGELADOS                              </t>
  </si>
  <si>
    <t xml:space="preserve">CECINAS                                                     </t>
  </si>
  <si>
    <t xml:space="preserve">EMBUTIDOS                                                   </t>
  </si>
  <si>
    <t xml:space="preserve">AGUAS EN BIDONES                                            </t>
  </si>
  <si>
    <t xml:space="preserve">AB ACEITES                                                  </t>
  </si>
  <si>
    <t xml:space="preserve">AB.FARINACEOS                                               </t>
  </si>
  <si>
    <t xml:space="preserve">AB.CONDIMENTOS                                              </t>
  </si>
  <si>
    <t xml:space="preserve">AB.SACHET PORTION                                           </t>
  </si>
  <si>
    <t xml:space="preserve">AB.CONSERVAS (SALADOS)                                  </t>
  </si>
  <si>
    <t xml:space="preserve">AB.CONSERVAS (DULCES)                                  </t>
  </si>
  <si>
    <t xml:space="preserve">AB.CAFETERÍA                                                </t>
  </si>
  <si>
    <t xml:space="preserve">AB.SOPAS Y CREMAS                                           </t>
  </si>
  <si>
    <t xml:space="preserve">AB.JUGOS (POLVOS Y CONCENTRADOS)                            </t>
  </si>
  <si>
    <t xml:space="preserve">AB.REPOSTERIA                                               </t>
  </si>
  <si>
    <t xml:space="preserve">AB.POSTRES (EN POLVO)                                       </t>
  </si>
  <si>
    <t xml:space="preserve">FRUTAS FRESCAS                                              </t>
  </si>
  <si>
    <t xml:space="preserve">VERDURAS FRESCAS                                            </t>
  </si>
  <si>
    <t xml:space="preserve">CONFITES DULCES                                                   </t>
  </si>
  <si>
    <t xml:space="preserve">CONFITES SALADOS                                 </t>
  </si>
  <si>
    <t>LACTEOS CREMAS</t>
  </si>
  <si>
    <t>LACTEOS LECHES</t>
  </si>
  <si>
    <t>LACTEOS QUESOS</t>
  </si>
  <si>
    <t>LACTEOS YOGURT</t>
  </si>
  <si>
    <t xml:space="preserve">POSTRES TERMINADOS                        </t>
  </si>
  <si>
    <t>POSTRES REPOSTERÍA</t>
  </si>
  <si>
    <t xml:space="preserve">PANADERIA (PAN Y MATERIAS PRIMAS)                                     </t>
  </si>
  <si>
    <t xml:space="preserve">PANADERIA  (OTROS ELABORADOS)                                                 </t>
  </si>
  <si>
    <t>eventos especiales</t>
  </si>
  <si>
    <t>Platos RNF</t>
  </si>
  <si>
    <t xml:space="preserve">ART ASEO GENERAL                                     </t>
  </si>
  <si>
    <t xml:space="preserve">ART ASEO DESINFECCIÓN                                                 </t>
  </si>
  <si>
    <t xml:space="preserve">ART. DESECHABLES  CONTENEDORES                                         </t>
  </si>
  <si>
    <t xml:space="preserve">ART. DESECHABLES  CUBIERTOS                                      </t>
  </si>
  <si>
    <t xml:space="preserve">ART. DESECHABLES   VASOS                                         </t>
  </si>
  <si>
    <t>ART. DESECHABLES  POCILLOS</t>
  </si>
  <si>
    <t>ART. DESECHABLES  GENERAL</t>
  </si>
  <si>
    <t>RNF047</t>
  </si>
  <si>
    <t>VERD031</t>
  </si>
  <si>
    <t>PERIODO:   al  30 /06/2026</t>
  </si>
  <si>
    <t xml:space="preserve"> PANAL RELLENO MEMBRELLO</t>
  </si>
  <si>
    <t>REJILLA RELLENO CREMA PASTELERA</t>
  </si>
  <si>
    <t>POSR015</t>
  </si>
  <si>
    <t>POSR016</t>
  </si>
  <si>
    <t>HIGIENICO JUMBO PROMO 4 X 500 (1 UND.)</t>
  </si>
  <si>
    <t>ASDE016</t>
  </si>
  <si>
    <t>ASDE018</t>
  </si>
  <si>
    <t>ASDE021</t>
  </si>
  <si>
    <t>VACUN OGANSO CAT V</t>
  </si>
  <si>
    <t>RESUMEN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</si>
</sst>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 [$$-340A]* #,##0.00_ ;_ [$$-340A]* \-#,##0.00_ ;_ [$$-340A]* &quot;-&quot;??_ ;_ @_ "/>
    <numFmt numFmtId="165" formatCode="_-* #,##0\ &quot;€&quot;_-;\-* #,##0\ &quot;€&quot;_-;_-* &quot;-&quot;\ &quot;€&quot;_-;_-@_-"/>
    <numFmt numFmtId="166" formatCode="_ [$$-340A]* #,##0_ ;_ [$$-340A]* \-#,##0_ ;_ [$$-340A]* &quot;-&quot;??_ ;_ @_ "/>
    <numFmt numFmtId="167" formatCode="_-* #,##0_-;\-* #,##0_-;_-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907B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3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2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2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7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4" fontId="2" fillId="2" borderId="7" xfId="2" applyNumberFormat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7" fillId="2" borderId="10" xfId="0" applyFont="1" applyFill="1" applyBorder="1"/>
    <xf numFmtId="0" fontId="3" fillId="2" borderId="11" xfId="0" applyFont="1" applyFill="1" applyBorder="1"/>
    <xf numFmtId="0" fontId="3" fillId="2" borderId="9" xfId="0" applyFont="1" applyFill="1" applyBorder="1" applyAlignment="1">
      <alignment horizontal="center"/>
    </xf>
    <xf numFmtId="164" fontId="2" fillId="2" borderId="8" xfId="2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164" fontId="2" fillId="3" borderId="8" xfId="2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top"/>
    </xf>
    <xf numFmtId="0" fontId="0" fillId="5" borderId="0" xfId="0" applyFill="1"/>
    <xf numFmtId="164" fontId="4" fillId="5" borderId="13" xfId="2" applyNumberFormat="1" applyFont="1" applyFill="1" applyBorder="1" applyAlignment="1">
      <alignment horizontal="center"/>
    </xf>
    <xf numFmtId="0" fontId="3" fillId="2" borderId="9" xfId="0" applyFont="1" applyFill="1" applyBorder="1"/>
    <xf numFmtId="164" fontId="2" fillId="6" borderId="8" xfId="2" applyNumberFormat="1" applyFont="1" applyFill="1" applyBorder="1" applyAlignment="1">
      <alignment horizontal="center"/>
    </xf>
    <xf numFmtId="164" fontId="2" fillId="7" borderId="8" xfId="2" applyNumberFormat="1" applyFont="1" applyFill="1" applyBorder="1" applyAlignment="1">
      <alignment horizontal="center"/>
    </xf>
    <xf numFmtId="164" fontId="2" fillId="8" borderId="8" xfId="2" applyNumberFormat="1" applyFont="1" applyFill="1" applyBorder="1" applyAlignment="1">
      <alignment horizontal="center"/>
    </xf>
    <xf numFmtId="164" fontId="2" fillId="0" borderId="8" xfId="2" applyNumberFormat="1" applyFont="1" applyFill="1" applyBorder="1" applyAlignment="1">
      <alignment horizontal="center"/>
    </xf>
    <xf numFmtId="164" fontId="2" fillId="9" borderId="8" xfId="2" applyNumberFormat="1" applyFont="1" applyFill="1" applyBorder="1" applyAlignment="1">
      <alignment horizontal="center"/>
    </xf>
    <xf numFmtId="164" fontId="4" fillId="3" borderId="13" xfId="2" applyNumberFormat="1" applyFont="1" applyFill="1" applyBorder="1" applyAlignment="1">
      <alignment horizontal="center"/>
    </xf>
    <xf numFmtId="164" fontId="4" fillId="10" borderId="13" xfId="2" applyNumberFormat="1" applyFont="1" applyFill="1" applyBorder="1" applyAlignment="1">
      <alignment horizontal="center"/>
    </xf>
    <xf numFmtId="164" fontId="4" fillId="8" borderId="13" xfId="2" applyNumberFormat="1" applyFont="1" applyFill="1" applyBorder="1" applyAlignment="1">
      <alignment horizontal="center"/>
    </xf>
    <xf numFmtId="0" fontId="0" fillId="11" borderId="0" xfId="0" applyFill="1"/>
    <xf numFmtId="164" fontId="4" fillId="11" borderId="13" xfId="2" applyNumberFormat="1" applyFont="1" applyFill="1" applyBorder="1" applyAlignment="1">
      <alignment horizontal="center"/>
    </xf>
    <xf numFmtId="0" fontId="0" fillId="12" borderId="0" xfId="0" applyFill="1"/>
    <xf numFmtId="164" fontId="4" fillId="12" borderId="13" xfId="2" applyNumberFormat="1" applyFont="1" applyFill="1" applyBorder="1" applyAlignment="1">
      <alignment horizontal="center"/>
    </xf>
    <xf numFmtId="164" fontId="4" fillId="13" borderId="13" xfId="2" applyNumberFormat="1" applyFont="1" applyFill="1" applyBorder="1" applyAlignment="1">
      <alignment horizontal="center"/>
    </xf>
    <xf numFmtId="0" fontId="0" fillId="14" borderId="0" xfId="0" applyFill="1"/>
    <xf numFmtId="164" fontId="4" fillId="14" borderId="13" xfId="2" applyNumberFormat="1" applyFont="1" applyFill="1" applyBorder="1" applyAlignment="1">
      <alignment horizontal="center"/>
    </xf>
    <xf numFmtId="0" fontId="0" fillId="10" borderId="0" xfId="0" applyFill="1"/>
    <xf numFmtId="0" fontId="0" fillId="13" borderId="0" xfId="0" applyFill="1"/>
    <xf numFmtId="164" fontId="3" fillId="13" borderId="13" xfId="2" applyNumberFormat="1" applyFont="1" applyFill="1" applyBorder="1" applyAlignment="1">
      <alignment horizontal="center"/>
    </xf>
    <xf numFmtId="164" fontId="2" fillId="15" borderId="8" xfId="2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164" fontId="2" fillId="2" borderId="9" xfId="2" applyNumberFormat="1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3" fillId="16" borderId="11" xfId="0" applyFont="1" applyFill="1" applyBorder="1"/>
    <xf numFmtId="0" fontId="3" fillId="16" borderId="9" xfId="0" applyFont="1" applyFill="1" applyBorder="1"/>
    <xf numFmtId="0" fontId="3" fillId="17" borderId="11" xfId="0" applyFont="1" applyFill="1" applyBorder="1"/>
    <xf numFmtId="0" fontId="3" fillId="17" borderId="9" xfId="0" applyFont="1" applyFill="1" applyBorder="1"/>
    <xf numFmtId="4" fontId="2" fillId="2" borderId="9" xfId="0" applyNumberFormat="1" applyFont="1" applyFill="1" applyBorder="1" applyAlignment="1">
      <alignment horizontal="center"/>
    </xf>
    <xf numFmtId="0" fontId="3" fillId="18" borderId="11" xfId="0" applyFont="1" applyFill="1" applyBorder="1"/>
    <xf numFmtId="0" fontId="3" fillId="19" borderId="9" xfId="0" applyFont="1" applyFill="1" applyBorder="1"/>
    <xf numFmtId="0" fontId="3" fillId="3" borderId="11" xfId="0" applyFont="1" applyFill="1" applyBorder="1"/>
    <xf numFmtId="0" fontId="3" fillId="3" borderId="9" xfId="0" applyFont="1" applyFill="1" applyBorder="1"/>
    <xf numFmtId="0" fontId="3" fillId="10" borderId="11" xfId="0" applyFont="1" applyFill="1" applyBorder="1"/>
    <xf numFmtId="0" fontId="3" fillId="10" borderId="9" xfId="0" applyFont="1" applyFill="1" applyBorder="1"/>
    <xf numFmtId="0" fontId="3" fillId="20" borderId="11" xfId="0" applyFont="1" applyFill="1" applyBorder="1"/>
    <xf numFmtId="0" fontId="3" fillId="20" borderId="9" xfId="0" applyFont="1" applyFill="1" applyBorder="1"/>
    <xf numFmtId="0" fontId="3" fillId="3" borderId="9" xfId="0" applyFont="1" applyFill="1" applyBorder="1" applyAlignment="1">
      <alignment horizontal="center"/>
    </xf>
    <xf numFmtId="0" fontId="3" fillId="21" borderId="11" xfId="0" applyFont="1" applyFill="1" applyBorder="1"/>
    <xf numFmtId="0" fontId="3" fillId="21" borderId="9" xfId="0" applyFont="1" applyFill="1" applyBorder="1"/>
    <xf numFmtId="0" fontId="3" fillId="22" borderId="11" xfId="0" applyFont="1" applyFill="1" applyBorder="1"/>
    <xf numFmtId="0" fontId="3" fillId="22" borderId="9" xfId="0" applyFont="1" applyFill="1" applyBorder="1"/>
    <xf numFmtId="3" fontId="8" fillId="2" borderId="9" xfId="0" applyNumberFormat="1" applyFont="1" applyFill="1" applyBorder="1" applyAlignment="1">
      <alignment horizontal="center"/>
    </xf>
    <xf numFmtId="164" fontId="8" fillId="2" borderId="8" xfId="2" applyNumberFormat="1" applyFont="1" applyFill="1" applyBorder="1" applyAlignment="1">
      <alignment horizontal="center"/>
    </xf>
    <xf numFmtId="0" fontId="3" fillId="13" borderId="11" xfId="0" applyFont="1" applyFill="1" applyBorder="1"/>
    <xf numFmtId="0" fontId="3" fillId="13" borderId="9" xfId="0" applyFont="1" applyFill="1" applyBorder="1"/>
    <xf numFmtId="0" fontId="3" fillId="5" borderId="11" xfId="0" applyFont="1" applyFill="1" applyBorder="1"/>
    <xf numFmtId="0" fontId="3" fillId="5" borderId="9" xfId="0" applyFont="1" applyFill="1" applyBorder="1"/>
    <xf numFmtId="0" fontId="3" fillId="23" borderId="11" xfId="0" applyFont="1" applyFill="1" applyBorder="1"/>
    <xf numFmtId="0" fontId="3" fillId="23" borderId="9" xfId="0" applyFont="1" applyFill="1" applyBorder="1"/>
    <xf numFmtId="164" fontId="4" fillId="16" borderId="13" xfId="2" applyNumberFormat="1" applyFont="1" applyFill="1" applyBorder="1" applyAlignment="1">
      <alignment horizontal="center"/>
    </xf>
    <xf numFmtId="0" fontId="3" fillId="8" borderId="11" xfId="0" applyFont="1" applyFill="1" applyBorder="1"/>
    <xf numFmtId="0" fontId="3" fillId="8" borderId="9" xfId="0" applyFont="1" applyFill="1" applyBorder="1"/>
    <xf numFmtId="0" fontId="3" fillId="6" borderId="11" xfId="0" applyFont="1" applyFill="1" applyBorder="1"/>
    <xf numFmtId="0" fontId="3" fillId="6" borderId="9" xfId="0" applyFont="1" applyFill="1" applyBorder="1"/>
    <xf numFmtId="0" fontId="3" fillId="2" borderId="15" xfId="0" applyFont="1" applyFill="1" applyBorder="1"/>
    <xf numFmtId="0" fontId="2" fillId="2" borderId="16" xfId="0" applyFont="1" applyFill="1" applyBorder="1" applyAlignment="1">
      <alignment horizontal="center"/>
    </xf>
    <xf numFmtId="0" fontId="3" fillId="2" borderId="17" xfId="0" applyFont="1" applyFill="1" applyBorder="1"/>
    <xf numFmtId="0" fontId="3" fillId="2" borderId="1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164" fontId="2" fillId="2" borderId="16" xfId="2" applyNumberFormat="1" applyFont="1" applyFill="1" applyBorder="1" applyAlignment="1">
      <alignment horizontal="center"/>
    </xf>
    <xf numFmtId="0" fontId="0" fillId="3" borderId="0" xfId="0" applyFill="1"/>
    <xf numFmtId="0" fontId="4" fillId="3" borderId="2" xfId="0" applyFont="1" applyFill="1" applyBorder="1"/>
    <xf numFmtId="0" fontId="4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 vertical="center" wrapText="1"/>
    </xf>
    <xf numFmtId="164" fontId="2" fillId="3" borderId="1" xfId="2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wrapText="1"/>
    </xf>
    <xf numFmtId="164" fontId="2" fillId="15" borderId="7" xfId="2" applyNumberFormat="1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7" fillId="2" borderId="23" xfId="0" applyFont="1" applyFill="1" applyBorder="1"/>
    <xf numFmtId="0" fontId="3" fillId="2" borderId="22" xfId="0" applyFont="1" applyFill="1" applyBorder="1"/>
    <xf numFmtId="164" fontId="2" fillId="2" borderId="22" xfId="2" applyNumberFormat="1" applyFont="1" applyFill="1" applyBorder="1" applyAlignment="1">
      <alignment horizontal="center"/>
    </xf>
    <xf numFmtId="164" fontId="2" fillId="2" borderId="16" xfId="1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/>
    </xf>
    <xf numFmtId="164" fontId="2" fillId="3" borderId="6" xfId="2" applyNumberFormat="1" applyFont="1" applyFill="1" applyBorder="1" applyAlignment="1">
      <alignment horizontal="center"/>
    </xf>
    <xf numFmtId="164" fontId="2" fillId="2" borderId="7" xfId="1" applyNumberFormat="1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2" fillId="3" borderId="9" xfId="2" applyNumberFormat="1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4" fontId="2" fillId="0" borderId="9" xfId="2" applyNumberFormat="1" applyFont="1" applyFill="1" applyBorder="1" applyAlignment="1">
      <alignment horizontal="center"/>
    </xf>
    <xf numFmtId="0" fontId="3" fillId="0" borderId="11" xfId="0" applyFont="1" applyBorder="1"/>
    <xf numFmtId="0" fontId="3" fillId="0" borderId="6" xfId="0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3" fontId="4" fillId="2" borderId="14" xfId="0" applyNumberFormat="1" applyFont="1" applyFill="1" applyBorder="1" applyAlignment="1">
      <alignment horizontal="center"/>
    </xf>
    <xf numFmtId="0" fontId="7" fillId="2" borderId="29" xfId="0" applyFont="1" applyFill="1" applyBorder="1"/>
    <xf numFmtId="0" fontId="3" fillId="2" borderId="18" xfId="0" applyFont="1" applyFill="1" applyBorder="1"/>
    <xf numFmtId="3" fontId="2" fillId="2" borderId="18" xfId="0" applyNumberFormat="1" applyFont="1" applyFill="1" applyBorder="1" applyAlignment="1">
      <alignment horizontal="center"/>
    </xf>
    <xf numFmtId="164" fontId="2" fillId="0" borderId="18" xfId="2" applyNumberFormat="1" applyFont="1" applyFill="1" applyBorder="1" applyAlignment="1">
      <alignment horizontal="center"/>
    </xf>
    <xf numFmtId="164" fontId="2" fillId="2" borderId="18" xfId="1" applyNumberFormat="1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164" fontId="2" fillId="2" borderId="9" xfId="1" applyNumberFormat="1" applyFont="1" applyFill="1" applyBorder="1" applyAlignment="1">
      <alignment horizontal="center"/>
    </xf>
    <xf numFmtId="0" fontId="2" fillId="2" borderId="0" xfId="0" applyFont="1" applyFill="1"/>
    <xf numFmtId="0" fontId="6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6" fontId="0" fillId="2" borderId="0" xfId="0" applyNumberFormat="1" applyFill="1"/>
    <xf numFmtId="0" fontId="0" fillId="2" borderId="9" xfId="0" applyFill="1" applyBorder="1"/>
    <xf numFmtId="0" fontId="0" fillId="0" borderId="9" xfId="0" applyBorder="1"/>
    <xf numFmtId="0" fontId="6" fillId="0" borderId="9" xfId="0" applyFont="1" applyBorder="1" applyAlignment="1">
      <alignment horizontal="center"/>
    </xf>
    <xf numFmtId="166" fontId="0" fillId="0" borderId="0" xfId="0" applyNumberFormat="1"/>
    <xf numFmtId="0" fontId="0" fillId="24" borderId="9" xfId="0" applyFill="1" applyBorder="1"/>
    <xf numFmtId="0" fontId="9" fillId="2" borderId="9" xfId="0" applyFont="1" applyFill="1" applyBorder="1"/>
    <xf numFmtId="0" fontId="0" fillId="2" borderId="22" xfId="0" applyFill="1" applyBorder="1"/>
    <xf numFmtId="0" fontId="0" fillId="0" borderId="22" xfId="0" applyBorder="1"/>
    <xf numFmtId="0" fontId="6" fillId="0" borderId="22" xfId="0" applyFont="1" applyBorder="1" applyAlignment="1">
      <alignment horizontal="center"/>
    </xf>
    <xf numFmtId="167" fontId="0" fillId="2" borderId="0" xfId="0" applyNumberFormat="1" applyFill="1"/>
    <xf numFmtId="164" fontId="2" fillId="0" borderId="0" xfId="2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4" borderId="24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0" fillId="8" borderId="0" xfId="0" applyFill="1"/>
    <xf numFmtId="0" fontId="0" fillId="16" borderId="0" xfId="0" applyFill="1"/>
    <xf numFmtId="0" fontId="3" fillId="25" borderId="11" xfId="0" applyFont="1" applyFill="1" applyBorder="1"/>
    <xf numFmtId="0" fontId="3" fillId="25" borderId="9" xfId="0" applyFont="1" applyFill="1" applyBorder="1"/>
    <xf numFmtId="0" fontId="3" fillId="26" borderId="11" xfId="0" applyFont="1" applyFill="1" applyBorder="1"/>
    <xf numFmtId="0" fontId="3" fillId="26" borderId="9" xfId="0" applyFont="1" applyFill="1" applyBorder="1"/>
    <xf numFmtId="0" fontId="7" fillId="26" borderId="10" xfId="0" applyFont="1" applyFill="1" applyBorder="1"/>
    <xf numFmtId="164" fontId="4" fillId="26" borderId="13" xfId="2" applyNumberFormat="1" applyFont="1" applyFill="1" applyBorder="1" applyAlignment="1">
      <alignment horizontal="center"/>
    </xf>
    <xf numFmtId="0" fontId="3" fillId="27" borderId="11" xfId="0" applyFont="1" applyFill="1" applyBorder="1"/>
    <xf numFmtId="0" fontId="3" fillId="27" borderId="9" xfId="0" applyFont="1" applyFill="1" applyBorder="1"/>
    <xf numFmtId="0" fontId="3" fillId="28" borderId="11" xfId="0" applyFont="1" applyFill="1" applyBorder="1"/>
    <xf numFmtId="0" fontId="3" fillId="28" borderId="9" xfId="0" applyFont="1" applyFill="1" applyBorder="1"/>
    <xf numFmtId="0" fontId="3" fillId="29" borderId="11" xfId="0" applyFont="1" applyFill="1" applyBorder="1"/>
    <xf numFmtId="0" fontId="3" fillId="29" borderId="9" xfId="0" applyFont="1" applyFill="1" applyBorder="1"/>
    <xf numFmtId="166" fontId="0" fillId="2" borderId="1" xfId="0" applyNumberFormat="1" applyFill="1" applyBorder="1"/>
    <xf numFmtId="0" fontId="3" fillId="30" borderId="11" xfId="0" applyFont="1" applyFill="1" applyBorder="1"/>
    <xf numFmtId="0" fontId="3" fillId="30" borderId="9" xfId="0" applyFont="1" applyFill="1" applyBorder="1"/>
    <xf numFmtId="3" fontId="2" fillId="4" borderId="7" xfId="0" applyNumberFormat="1" applyFont="1" applyFill="1" applyBorder="1" applyAlignment="1">
      <alignment horizontal="center"/>
    </xf>
    <xf numFmtId="0" fontId="3" fillId="31" borderId="11" xfId="0" applyFont="1" applyFill="1" applyBorder="1"/>
    <xf numFmtId="0" fontId="3" fillId="31" borderId="9" xfId="0" applyFont="1" applyFill="1" applyBorder="1"/>
    <xf numFmtId="0" fontId="3" fillId="31" borderId="9" xfId="0" applyFont="1" applyFill="1" applyBorder="1" applyAlignment="1">
      <alignment horizontal="center"/>
    </xf>
    <xf numFmtId="0" fontId="2" fillId="31" borderId="9" xfId="0" applyFont="1" applyFill="1" applyBorder="1" applyAlignment="1">
      <alignment horizontal="center"/>
    </xf>
    <xf numFmtId="164" fontId="2" fillId="31" borderId="8" xfId="2" applyNumberFormat="1" applyFont="1" applyFill="1" applyBorder="1" applyAlignment="1">
      <alignment horizontal="center"/>
    </xf>
    <xf numFmtId="164" fontId="2" fillId="31" borderId="8" xfId="1" applyNumberFormat="1" applyFont="1" applyFill="1" applyBorder="1" applyAlignment="1">
      <alignment horizontal="center"/>
    </xf>
    <xf numFmtId="0" fontId="7" fillId="31" borderId="10" xfId="0" applyFont="1" applyFill="1" applyBorder="1"/>
    <xf numFmtId="0" fontId="0" fillId="32" borderId="22" xfId="0" applyFill="1" applyBorder="1"/>
    <xf numFmtId="0" fontId="6" fillId="32" borderId="22" xfId="0" applyFont="1" applyFill="1" applyBorder="1" applyAlignment="1">
      <alignment horizontal="center"/>
    </xf>
    <xf numFmtId="166" fontId="0" fillId="32" borderId="0" xfId="0" applyNumberFormat="1" applyFill="1"/>
    <xf numFmtId="164" fontId="2" fillId="33" borderId="8" xfId="2" applyNumberFormat="1" applyFont="1" applyFill="1" applyBorder="1" applyAlignment="1">
      <alignment horizontal="center"/>
    </xf>
    <xf numFmtId="3" fontId="2" fillId="31" borderId="9" xfId="0" applyNumberFormat="1" applyFont="1" applyFill="1" applyBorder="1" applyAlignment="1">
      <alignment horizontal="center"/>
    </xf>
    <xf numFmtId="0" fontId="2" fillId="31" borderId="8" xfId="0" applyFont="1" applyFill="1" applyBorder="1" applyAlignment="1">
      <alignment horizontal="center"/>
    </xf>
    <xf numFmtId="0" fontId="2" fillId="31" borderId="7" xfId="0" applyFont="1" applyFill="1" applyBorder="1" applyAlignment="1">
      <alignment horizontal="center"/>
    </xf>
    <xf numFmtId="0" fontId="4" fillId="31" borderId="9" xfId="0" applyFont="1" applyFill="1" applyBorder="1" applyAlignment="1">
      <alignment horizontal="center"/>
    </xf>
    <xf numFmtId="0" fontId="0" fillId="31" borderId="0" xfId="0" applyFill="1"/>
    <xf numFmtId="0" fontId="3" fillId="31" borderId="6" xfId="0" applyFont="1" applyFill="1" applyBorder="1"/>
    <xf numFmtId="0" fontId="4" fillId="26" borderId="12" xfId="0" applyFont="1" applyFill="1" applyBorder="1" applyAlignment="1">
      <alignment horizontal="center"/>
    </xf>
    <xf numFmtId="0" fontId="4" fillId="26" borderId="13" xfId="0" applyFont="1" applyFill="1" applyBorder="1" applyAlignment="1">
      <alignment horizontal="center"/>
    </xf>
    <xf numFmtId="0" fontId="4" fillId="26" borderId="14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4" fillId="10" borderId="13" xfId="0" applyFont="1" applyFill="1" applyBorder="1" applyAlignment="1">
      <alignment horizontal="center"/>
    </xf>
    <xf numFmtId="0" fontId="4" fillId="10" borderId="14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16" borderId="12" xfId="0" applyFont="1" applyFill="1" applyBorder="1" applyAlignment="1">
      <alignment horizontal="center"/>
    </xf>
    <xf numFmtId="0" fontId="4" fillId="16" borderId="13" xfId="0" applyFont="1" applyFill="1" applyBorder="1" applyAlignment="1">
      <alignment horizontal="center"/>
    </xf>
    <xf numFmtId="0" fontId="4" fillId="16" borderId="14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13" xfId="0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4" fillId="12" borderId="13" xfId="0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/>
    </xf>
    <xf numFmtId="0" fontId="4" fillId="13" borderId="13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4" fillId="14" borderId="12" xfId="0" applyFont="1" applyFill="1" applyBorder="1" applyAlignment="1">
      <alignment horizontal="center"/>
    </xf>
    <xf numFmtId="0" fontId="4" fillId="14" borderId="13" xfId="0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center"/>
    </xf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colors>
    <mruColors>
      <color rgb="FFC907BB"/>
      <color rgb="FF00FFFF"/>
      <color rgb="FF00FF00"/>
      <color rgb="FFFF3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91"/>
  <sheetViews>
    <sheetView tabSelected="1" workbookViewId="0">
      <selection activeCell="E60" sqref="E60"/>
    </sheetView>
  </sheetViews>
  <sheetFormatPr baseColWidth="10" defaultColWidth="11.5703125" defaultRowHeight="15" x14ac:dyDescent="0.25"/>
  <cols>
    <col min="1" max="1" width="15.28515625" style="1" customWidth="1"/>
    <col min="2" max="2" width="53.28515625" style="2" customWidth="1"/>
    <col min="3" max="3" width="8.5703125" style="2" customWidth="1"/>
    <col min="4" max="4" width="5.140625" style="3" customWidth="1"/>
    <col min="5" max="5" width="13" style="4" customWidth="1"/>
    <col min="6" max="6" width="11.42578125" style="5" customWidth="1"/>
    <col min="7" max="7" width="14.42578125" style="6" customWidth="1"/>
    <col min="8" max="8" width="9.28515625" style="4" bestFit="1" customWidth="1"/>
    <col min="9" max="9" width="9.42578125" style="4" customWidth="1"/>
    <col min="10" max="10" width="33.140625" style="7" customWidth="1"/>
    <col min="11" max="11" width="10.42578125" style="4" bestFit="1" customWidth="1"/>
    <col min="12" max="16384" width="11.5703125" style="1"/>
  </cols>
  <sheetData>
    <row r="1" spans="1:11" x14ac:dyDescent="0.25">
      <c r="B1" s="2" t="s">
        <v>0</v>
      </c>
    </row>
    <row r="2" spans="1:11" x14ac:dyDescent="0.25">
      <c r="B2" s="2" t="s">
        <v>1</v>
      </c>
    </row>
    <row r="3" spans="1:11" x14ac:dyDescent="0.25">
      <c r="B3" s="2" t="s">
        <v>1184</v>
      </c>
    </row>
    <row r="4" spans="1:11" x14ac:dyDescent="0.25">
      <c r="B4" s="2" t="s">
        <v>2</v>
      </c>
    </row>
    <row r="5" spans="1:11" ht="15.75" thickBot="1" x14ac:dyDescent="0.3"/>
    <row r="6" spans="1:11" s="15" customFormat="1" ht="45.6" customHeight="1" thickBot="1" x14ac:dyDescent="0.3">
      <c r="A6" s="8" t="s">
        <v>3</v>
      </c>
      <c r="B6" s="9" t="s">
        <v>4</v>
      </c>
      <c r="C6" s="10" t="s">
        <v>5</v>
      </c>
      <c r="D6" s="11" t="s">
        <v>6</v>
      </c>
      <c r="E6" s="12" t="s">
        <v>7</v>
      </c>
      <c r="F6" s="13" t="s">
        <v>8</v>
      </c>
      <c r="G6" s="14" t="s">
        <v>9</v>
      </c>
      <c r="H6" s="12" t="s">
        <v>10</v>
      </c>
      <c r="I6" s="158" t="s">
        <v>11</v>
      </c>
      <c r="J6" s="12" t="s">
        <v>12</v>
      </c>
      <c r="K6" s="12" t="s">
        <v>13</v>
      </c>
    </row>
    <row r="7" spans="1:11" x14ac:dyDescent="0.25">
      <c r="A7" s="16" t="s">
        <v>14</v>
      </c>
      <c r="B7" s="17" t="s">
        <v>15</v>
      </c>
      <c r="C7" s="18" t="s">
        <v>16</v>
      </c>
      <c r="D7" s="19" t="s">
        <v>17</v>
      </c>
      <c r="E7" s="20">
        <v>40</v>
      </c>
      <c r="F7" s="21">
        <v>1982.5</v>
      </c>
      <c r="G7" s="22">
        <f t="shared" ref="G7:G70" si="0">E7*F7</f>
        <v>79300</v>
      </c>
      <c r="H7" s="23"/>
      <c r="I7" s="159">
        <f t="shared" ref="I7:I70" si="1">E7-H7</f>
        <v>40</v>
      </c>
      <c r="J7" s="24" t="s">
        <v>18</v>
      </c>
      <c r="K7" s="20"/>
    </row>
    <row r="8" spans="1:11" x14ac:dyDescent="0.25">
      <c r="A8" s="16" t="s">
        <v>14</v>
      </c>
      <c r="B8" s="17" t="s">
        <v>19</v>
      </c>
      <c r="C8" s="18" t="s">
        <v>20</v>
      </c>
      <c r="D8" s="19" t="s">
        <v>17</v>
      </c>
      <c r="E8" s="20">
        <v>10</v>
      </c>
      <c r="F8" s="21">
        <v>4768</v>
      </c>
      <c r="G8" s="22">
        <f t="shared" si="0"/>
        <v>47680</v>
      </c>
      <c r="H8" s="25"/>
      <c r="I8" s="159">
        <f t="shared" si="1"/>
        <v>10</v>
      </c>
      <c r="J8" s="26" t="s">
        <v>21</v>
      </c>
      <c r="K8" s="27"/>
    </row>
    <row r="9" spans="1:11" x14ac:dyDescent="0.25">
      <c r="A9" s="28" t="s">
        <v>22</v>
      </c>
      <c r="B9" s="29" t="s">
        <v>23</v>
      </c>
      <c r="C9" s="18" t="s">
        <v>24</v>
      </c>
      <c r="D9" s="30" t="s">
        <v>25</v>
      </c>
      <c r="E9" s="27">
        <v>150</v>
      </c>
      <c r="F9" s="31">
        <v>858</v>
      </c>
      <c r="G9" s="22">
        <f t="shared" si="0"/>
        <v>128700</v>
      </c>
      <c r="H9" s="25"/>
      <c r="I9" s="159">
        <f t="shared" si="1"/>
        <v>150</v>
      </c>
      <c r="J9" s="26" t="s">
        <v>26</v>
      </c>
      <c r="K9" s="27"/>
    </row>
    <row r="10" spans="1:11" x14ac:dyDescent="0.25">
      <c r="A10" s="28" t="s">
        <v>22</v>
      </c>
      <c r="B10" s="29" t="s">
        <v>27</v>
      </c>
      <c r="C10" s="18" t="s">
        <v>28</v>
      </c>
      <c r="D10" s="30" t="s">
        <v>25</v>
      </c>
      <c r="E10" s="27"/>
      <c r="F10" s="31">
        <v>1650</v>
      </c>
      <c r="G10" s="22">
        <f t="shared" si="0"/>
        <v>0</v>
      </c>
      <c r="H10" s="25"/>
      <c r="I10" s="159">
        <f t="shared" si="1"/>
        <v>0</v>
      </c>
      <c r="J10" s="26" t="s">
        <v>29</v>
      </c>
      <c r="K10" s="27"/>
    </row>
    <row r="11" spans="1:11" x14ac:dyDescent="0.25">
      <c r="A11" s="28" t="s">
        <v>22</v>
      </c>
      <c r="B11" s="29" t="s">
        <v>30</v>
      </c>
      <c r="C11" s="18" t="s">
        <v>31</v>
      </c>
      <c r="D11" s="30" t="s">
        <v>25</v>
      </c>
      <c r="E11" s="27">
        <v>6</v>
      </c>
      <c r="F11" s="31">
        <v>2580</v>
      </c>
      <c r="G11" s="22">
        <f t="shared" si="0"/>
        <v>15480</v>
      </c>
      <c r="H11" s="25"/>
      <c r="I11" s="159">
        <f t="shared" si="1"/>
        <v>6</v>
      </c>
      <c r="J11" s="26" t="s">
        <v>32</v>
      </c>
      <c r="K11" s="27"/>
    </row>
    <row r="12" spans="1:11" x14ac:dyDescent="0.25">
      <c r="A12" s="28" t="s">
        <v>22</v>
      </c>
      <c r="B12" s="29" t="s">
        <v>33</v>
      </c>
      <c r="C12" s="18" t="s">
        <v>34</v>
      </c>
      <c r="D12" s="30" t="s">
        <v>25</v>
      </c>
      <c r="E12" s="27">
        <v>14.4</v>
      </c>
      <c r="F12" s="31">
        <v>25568.95</v>
      </c>
      <c r="G12" s="22">
        <f t="shared" si="0"/>
        <v>368192.88</v>
      </c>
      <c r="H12" s="25"/>
      <c r="I12" s="159">
        <f t="shared" si="1"/>
        <v>14.4</v>
      </c>
      <c r="J12" s="26" t="s">
        <v>35</v>
      </c>
      <c r="K12" s="27"/>
    </row>
    <row r="13" spans="1:11" x14ac:dyDescent="0.25">
      <c r="A13" s="28" t="s">
        <v>22</v>
      </c>
      <c r="B13" s="29" t="s">
        <v>36</v>
      </c>
      <c r="C13" s="18" t="s">
        <v>37</v>
      </c>
      <c r="D13" s="30" t="s">
        <v>25</v>
      </c>
      <c r="E13" s="27">
        <v>20</v>
      </c>
      <c r="F13" s="31">
        <v>7494</v>
      </c>
      <c r="G13" s="22">
        <f t="shared" si="0"/>
        <v>149880</v>
      </c>
      <c r="H13" s="25"/>
      <c r="I13" s="159">
        <f t="shared" si="1"/>
        <v>20</v>
      </c>
      <c r="J13" s="26" t="s">
        <v>38</v>
      </c>
      <c r="K13" s="27"/>
    </row>
    <row r="14" spans="1:11" x14ac:dyDescent="0.25">
      <c r="A14" s="28" t="s">
        <v>22</v>
      </c>
      <c r="B14" s="29" t="s">
        <v>39</v>
      </c>
      <c r="C14" s="18" t="s">
        <v>40</v>
      </c>
      <c r="D14" s="30" t="s">
        <v>17</v>
      </c>
      <c r="E14" s="27">
        <v>10</v>
      </c>
      <c r="F14" s="31">
        <v>7631.42</v>
      </c>
      <c r="G14" s="22">
        <f t="shared" si="0"/>
        <v>76314.2</v>
      </c>
      <c r="H14" s="25"/>
      <c r="I14" s="159">
        <f t="shared" si="1"/>
        <v>10</v>
      </c>
      <c r="J14" s="26" t="s">
        <v>41</v>
      </c>
      <c r="K14" s="27"/>
    </row>
    <row r="15" spans="1:11" x14ac:dyDescent="0.25">
      <c r="A15" s="28" t="s">
        <v>22</v>
      </c>
      <c r="B15" s="29" t="s">
        <v>42</v>
      </c>
      <c r="C15" s="18" t="s">
        <v>43</v>
      </c>
      <c r="D15" s="30" t="s">
        <v>44</v>
      </c>
      <c r="E15" s="32">
        <v>7100</v>
      </c>
      <c r="F15" s="31">
        <v>30.74</v>
      </c>
      <c r="G15" s="22">
        <f t="shared" si="0"/>
        <v>218254</v>
      </c>
      <c r="H15" s="25"/>
      <c r="I15" s="159">
        <f t="shared" si="1"/>
        <v>7100</v>
      </c>
      <c r="J15" s="26" t="s">
        <v>41</v>
      </c>
      <c r="K15" s="27"/>
    </row>
    <row r="16" spans="1:11" x14ac:dyDescent="0.25">
      <c r="A16" s="28" t="s">
        <v>22</v>
      </c>
      <c r="B16" s="29" t="s">
        <v>45</v>
      </c>
      <c r="C16" s="18" t="s">
        <v>46</v>
      </c>
      <c r="D16" s="30" t="s">
        <v>44</v>
      </c>
      <c r="E16" s="32">
        <v>10000</v>
      </c>
      <c r="F16" s="31">
        <v>48.35</v>
      </c>
      <c r="G16" s="22">
        <f t="shared" si="0"/>
        <v>483500</v>
      </c>
      <c r="H16" s="25"/>
      <c r="I16" s="159">
        <f t="shared" si="1"/>
        <v>10000</v>
      </c>
      <c r="J16" s="26" t="s">
        <v>41</v>
      </c>
      <c r="K16" s="27"/>
    </row>
    <row r="17" spans="1:11" x14ac:dyDescent="0.25">
      <c r="A17" s="28" t="s">
        <v>47</v>
      </c>
      <c r="B17" s="29" t="s">
        <v>48</v>
      </c>
      <c r="C17" s="18" t="s">
        <v>49</v>
      </c>
      <c r="D17" s="30" t="s">
        <v>25</v>
      </c>
      <c r="E17" s="27"/>
      <c r="F17" s="31">
        <v>1400</v>
      </c>
      <c r="G17" s="22">
        <f t="shared" si="0"/>
        <v>0</v>
      </c>
      <c r="H17" s="25"/>
      <c r="I17" s="159">
        <f t="shared" si="1"/>
        <v>0</v>
      </c>
      <c r="J17" s="26" t="s">
        <v>50</v>
      </c>
      <c r="K17" s="27"/>
    </row>
    <row r="18" spans="1:11" x14ac:dyDescent="0.25">
      <c r="A18" s="28" t="s">
        <v>47</v>
      </c>
      <c r="B18" s="29" t="s">
        <v>51</v>
      </c>
      <c r="C18" s="18" t="s">
        <v>52</v>
      </c>
      <c r="D18" s="30" t="s">
        <v>25</v>
      </c>
      <c r="E18" s="27">
        <v>72</v>
      </c>
      <c r="F18" s="31">
        <v>1120</v>
      </c>
      <c r="G18" s="22">
        <f t="shared" si="0"/>
        <v>80640</v>
      </c>
      <c r="H18" s="25"/>
      <c r="I18" s="159">
        <f t="shared" si="1"/>
        <v>72</v>
      </c>
      <c r="J18" s="26" t="s">
        <v>50</v>
      </c>
      <c r="K18" s="27"/>
    </row>
    <row r="19" spans="1:11" x14ac:dyDescent="0.25">
      <c r="A19" s="28" t="s">
        <v>47</v>
      </c>
      <c r="B19" s="29" t="s">
        <v>53</v>
      </c>
      <c r="C19" s="18" t="s">
        <v>54</v>
      </c>
      <c r="D19" s="30" t="s">
        <v>25</v>
      </c>
      <c r="E19" s="27">
        <v>73</v>
      </c>
      <c r="F19" s="31">
        <v>1500</v>
      </c>
      <c r="G19" s="22">
        <f t="shared" si="0"/>
        <v>109500</v>
      </c>
      <c r="H19" s="25"/>
      <c r="I19" s="159">
        <f t="shared" si="1"/>
        <v>73</v>
      </c>
      <c r="J19" s="26" t="s">
        <v>50</v>
      </c>
      <c r="K19" s="27"/>
    </row>
    <row r="20" spans="1:11" x14ac:dyDescent="0.25">
      <c r="A20" s="28" t="s">
        <v>47</v>
      </c>
      <c r="B20" s="29" t="s">
        <v>55</v>
      </c>
      <c r="C20" s="18" t="s">
        <v>56</v>
      </c>
      <c r="D20" s="30" t="s">
        <v>25</v>
      </c>
      <c r="E20" s="27">
        <v>48</v>
      </c>
      <c r="F20" s="31">
        <v>1150</v>
      </c>
      <c r="G20" s="22">
        <f t="shared" si="0"/>
        <v>55200</v>
      </c>
      <c r="H20" s="25"/>
      <c r="I20" s="159">
        <f t="shared" si="1"/>
        <v>48</v>
      </c>
      <c r="J20" s="26" t="s">
        <v>50</v>
      </c>
      <c r="K20" s="27"/>
    </row>
    <row r="21" spans="1:11" x14ac:dyDescent="0.25">
      <c r="A21" s="28" t="s">
        <v>47</v>
      </c>
      <c r="B21" s="29" t="s">
        <v>57</v>
      </c>
      <c r="C21" s="18" t="s">
        <v>58</v>
      </c>
      <c r="D21" s="30" t="s">
        <v>25</v>
      </c>
      <c r="E21" s="27">
        <v>38</v>
      </c>
      <c r="F21" s="33">
        <v>1750</v>
      </c>
      <c r="G21" s="22">
        <f t="shared" si="0"/>
        <v>66500</v>
      </c>
      <c r="H21" s="25"/>
      <c r="I21" s="159">
        <f t="shared" si="1"/>
        <v>38</v>
      </c>
      <c r="J21" s="26" t="s">
        <v>50</v>
      </c>
      <c r="K21" s="27"/>
    </row>
    <row r="22" spans="1:11" x14ac:dyDescent="0.25">
      <c r="A22" s="28" t="s">
        <v>47</v>
      </c>
      <c r="B22" s="29" t="s">
        <v>59</v>
      </c>
      <c r="C22" s="18" t="s">
        <v>60</v>
      </c>
      <c r="D22" s="30" t="s">
        <v>25</v>
      </c>
      <c r="E22" s="27">
        <v>2</v>
      </c>
      <c r="F22" s="31">
        <v>5057</v>
      </c>
      <c r="G22" s="22">
        <f t="shared" si="0"/>
        <v>10114</v>
      </c>
      <c r="H22" s="25"/>
      <c r="I22" s="159">
        <f t="shared" si="1"/>
        <v>2</v>
      </c>
      <c r="J22" s="26" t="s">
        <v>61</v>
      </c>
      <c r="K22" s="27"/>
    </row>
    <row r="23" spans="1:11" x14ac:dyDescent="0.25">
      <c r="A23" s="28" t="s">
        <v>47</v>
      </c>
      <c r="B23" s="29" t="s">
        <v>62</v>
      </c>
      <c r="C23" s="18" t="s">
        <v>63</v>
      </c>
      <c r="D23" s="30" t="s">
        <v>25</v>
      </c>
      <c r="E23" s="27">
        <v>4.4000000000000004</v>
      </c>
      <c r="F23" s="31">
        <v>12268.72</v>
      </c>
      <c r="G23" s="22">
        <f t="shared" si="0"/>
        <v>53982.368000000002</v>
      </c>
      <c r="H23" s="25"/>
      <c r="I23" s="159">
        <f t="shared" si="1"/>
        <v>4.4000000000000004</v>
      </c>
      <c r="J23" s="26" t="s">
        <v>64</v>
      </c>
      <c r="K23" s="27"/>
    </row>
    <row r="24" spans="1:11" x14ac:dyDescent="0.25">
      <c r="A24" s="28" t="s">
        <v>47</v>
      </c>
      <c r="B24" s="29" t="s">
        <v>65</v>
      </c>
      <c r="C24" s="18" t="s">
        <v>66</v>
      </c>
      <c r="D24" s="30" t="s">
        <v>25</v>
      </c>
      <c r="E24" s="27">
        <v>19</v>
      </c>
      <c r="F24" s="31">
        <v>5434</v>
      </c>
      <c r="G24" s="22">
        <f t="shared" si="0"/>
        <v>103246</v>
      </c>
      <c r="H24" s="25"/>
      <c r="I24" s="159">
        <f t="shared" si="1"/>
        <v>19</v>
      </c>
      <c r="J24" s="26" t="s">
        <v>67</v>
      </c>
      <c r="K24" s="27"/>
    </row>
    <row r="25" spans="1:11" x14ac:dyDescent="0.25">
      <c r="A25" s="28" t="s">
        <v>47</v>
      </c>
      <c r="B25" s="29" t="s">
        <v>68</v>
      </c>
      <c r="C25" s="18" t="s">
        <v>69</v>
      </c>
      <c r="D25" s="30" t="s">
        <v>25</v>
      </c>
      <c r="E25" s="27"/>
      <c r="F25" s="31">
        <v>2213</v>
      </c>
      <c r="G25" s="22">
        <f t="shared" si="0"/>
        <v>0</v>
      </c>
      <c r="H25" s="25"/>
      <c r="I25" s="159">
        <f t="shared" si="1"/>
        <v>0</v>
      </c>
      <c r="J25" s="26"/>
      <c r="K25" s="27"/>
    </row>
    <row r="26" spans="1:11" x14ac:dyDescent="0.25">
      <c r="A26" s="28" t="s">
        <v>47</v>
      </c>
      <c r="B26" s="29" t="s">
        <v>70</v>
      </c>
      <c r="C26" s="18" t="s">
        <v>71</v>
      </c>
      <c r="D26" s="30" t="s">
        <v>25</v>
      </c>
      <c r="E26" s="27"/>
      <c r="F26" s="31">
        <v>2210</v>
      </c>
      <c r="G26" s="22">
        <f t="shared" si="0"/>
        <v>0</v>
      </c>
      <c r="H26" s="25"/>
      <c r="I26" s="159">
        <f t="shared" si="1"/>
        <v>0</v>
      </c>
      <c r="J26" s="26"/>
      <c r="K26" s="27"/>
    </row>
    <row r="27" spans="1:11" x14ac:dyDescent="0.25">
      <c r="A27" s="28" t="s">
        <v>47</v>
      </c>
      <c r="B27" s="29" t="s">
        <v>72</v>
      </c>
      <c r="C27" s="18" t="s">
        <v>73</v>
      </c>
      <c r="D27" s="30" t="s">
        <v>25</v>
      </c>
      <c r="E27" s="27">
        <v>1.75</v>
      </c>
      <c r="F27" s="31">
        <v>31868</v>
      </c>
      <c r="G27" s="22">
        <f t="shared" si="0"/>
        <v>55769</v>
      </c>
      <c r="H27" s="25"/>
      <c r="I27" s="159">
        <f t="shared" si="1"/>
        <v>1.75</v>
      </c>
      <c r="J27" s="26" t="s">
        <v>74</v>
      </c>
      <c r="K27" s="27"/>
    </row>
    <row r="28" spans="1:11" x14ac:dyDescent="0.25">
      <c r="A28" s="28" t="s">
        <v>47</v>
      </c>
      <c r="B28" s="29" t="s">
        <v>75</v>
      </c>
      <c r="C28" s="18" t="s">
        <v>76</v>
      </c>
      <c r="D28" s="30" t="s">
        <v>25</v>
      </c>
      <c r="E28" s="27"/>
      <c r="F28" s="33">
        <v>4152.625</v>
      </c>
      <c r="G28" s="22">
        <f t="shared" si="0"/>
        <v>0</v>
      </c>
      <c r="H28" s="25"/>
      <c r="I28" s="159">
        <f t="shared" si="1"/>
        <v>0</v>
      </c>
      <c r="J28" s="26" t="s">
        <v>77</v>
      </c>
      <c r="K28" s="27"/>
    </row>
    <row r="29" spans="1:11" x14ac:dyDescent="0.25">
      <c r="A29" s="28" t="s">
        <v>47</v>
      </c>
      <c r="B29" s="29" t="s">
        <v>78</v>
      </c>
      <c r="C29" s="18" t="s">
        <v>79</v>
      </c>
      <c r="D29" s="30" t="s">
        <v>25</v>
      </c>
      <c r="E29" s="27"/>
      <c r="F29" s="33">
        <v>14576</v>
      </c>
      <c r="G29" s="22">
        <f t="shared" si="0"/>
        <v>0</v>
      </c>
      <c r="H29" s="25"/>
      <c r="I29" s="159">
        <f t="shared" si="1"/>
        <v>0</v>
      </c>
      <c r="J29" s="26"/>
      <c r="K29" s="27" t="s">
        <v>80</v>
      </c>
    </row>
    <row r="30" spans="1:11" x14ac:dyDescent="0.25">
      <c r="A30" s="28" t="s">
        <v>47</v>
      </c>
      <c r="B30" s="29" t="s">
        <v>81</v>
      </c>
      <c r="C30" s="18" t="s">
        <v>82</v>
      </c>
      <c r="D30" s="30" t="s">
        <v>25</v>
      </c>
      <c r="E30" s="27"/>
      <c r="F30" s="31">
        <v>4667</v>
      </c>
      <c r="G30" s="22">
        <f t="shared" si="0"/>
        <v>0</v>
      </c>
      <c r="H30" s="25"/>
      <c r="I30" s="159">
        <f t="shared" si="1"/>
        <v>0</v>
      </c>
      <c r="J30" s="26" t="s">
        <v>77</v>
      </c>
      <c r="K30" s="27"/>
    </row>
    <row r="31" spans="1:11" x14ac:dyDescent="0.25">
      <c r="A31" s="28" t="s">
        <v>47</v>
      </c>
      <c r="B31" s="29" t="s">
        <v>83</v>
      </c>
      <c r="C31" s="18" t="s">
        <v>84</v>
      </c>
      <c r="D31" s="30" t="s">
        <v>25</v>
      </c>
      <c r="E31" s="27">
        <v>2</v>
      </c>
      <c r="F31" s="31">
        <v>6436</v>
      </c>
      <c r="G31" s="22">
        <f t="shared" si="0"/>
        <v>12872</v>
      </c>
      <c r="H31" s="25"/>
      <c r="I31" s="159">
        <f t="shared" si="1"/>
        <v>2</v>
      </c>
      <c r="J31" s="26" t="s">
        <v>85</v>
      </c>
      <c r="K31" s="27"/>
    </row>
    <row r="32" spans="1:11" x14ac:dyDescent="0.25">
      <c r="A32" s="28" t="s">
        <v>47</v>
      </c>
      <c r="B32" s="29" t="s">
        <v>86</v>
      </c>
      <c r="C32" s="18" t="s">
        <v>87</v>
      </c>
      <c r="D32" s="30" t="s">
        <v>25</v>
      </c>
      <c r="E32" s="27">
        <v>9</v>
      </c>
      <c r="F32" s="31">
        <v>6384</v>
      </c>
      <c r="G32" s="22">
        <f t="shared" si="0"/>
        <v>57456</v>
      </c>
      <c r="H32" s="25"/>
      <c r="I32" s="159">
        <f t="shared" si="1"/>
        <v>9</v>
      </c>
      <c r="J32" s="26" t="s">
        <v>85</v>
      </c>
      <c r="K32" s="27"/>
    </row>
    <row r="33" spans="1:11" x14ac:dyDescent="0.25">
      <c r="A33" s="28" t="s">
        <v>47</v>
      </c>
      <c r="B33" s="29" t="s">
        <v>88</v>
      </c>
      <c r="C33" s="18" t="s">
        <v>89</v>
      </c>
      <c r="D33" s="73" t="s">
        <v>25</v>
      </c>
      <c r="E33" s="27">
        <v>2.5</v>
      </c>
      <c r="F33" s="33">
        <v>20475</v>
      </c>
      <c r="G33" s="22">
        <f t="shared" si="0"/>
        <v>51187.5</v>
      </c>
      <c r="H33" s="25"/>
      <c r="I33" s="159">
        <f t="shared" si="1"/>
        <v>2.5</v>
      </c>
      <c r="J33" s="26"/>
      <c r="K33" s="27"/>
    </row>
    <row r="34" spans="1:11" x14ac:dyDescent="0.25">
      <c r="A34" s="28" t="s">
        <v>47</v>
      </c>
      <c r="B34" s="29" t="s">
        <v>90</v>
      </c>
      <c r="C34" s="18" t="s">
        <v>91</v>
      </c>
      <c r="D34" s="30" t="s">
        <v>25</v>
      </c>
      <c r="E34" s="27">
        <v>200</v>
      </c>
      <c r="F34" s="31">
        <v>300</v>
      </c>
      <c r="G34" s="22">
        <f t="shared" si="0"/>
        <v>60000</v>
      </c>
      <c r="H34" s="25"/>
      <c r="I34" s="159">
        <f t="shared" si="1"/>
        <v>200</v>
      </c>
      <c r="J34" s="26" t="s">
        <v>92</v>
      </c>
      <c r="K34" s="27"/>
    </row>
    <row r="35" spans="1:11" x14ac:dyDescent="0.25">
      <c r="A35" s="28" t="s">
        <v>47</v>
      </c>
      <c r="B35" s="29" t="s">
        <v>93</v>
      </c>
      <c r="C35" s="18" t="s">
        <v>94</v>
      </c>
      <c r="D35" s="30" t="s">
        <v>25</v>
      </c>
      <c r="E35" s="27">
        <v>19</v>
      </c>
      <c r="F35" s="31">
        <v>3190</v>
      </c>
      <c r="G35" s="22">
        <f t="shared" si="0"/>
        <v>60610</v>
      </c>
      <c r="H35" s="25"/>
      <c r="I35" s="159">
        <f t="shared" si="1"/>
        <v>19</v>
      </c>
      <c r="J35" s="26" t="s">
        <v>95</v>
      </c>
      <c r="K35" s="27"/>
    </row>
    <row r="36" spans="1:11" x14ac:dyDescent="0.25">
      <c r="A36" s="28" t="s">
        <v>47</v>
      </c>
      <c r="B36" s="29" t="s">
        <v>96</v>
      </c>
      <c r="C36" s="18" t="s">
        <v>97</v>
      </c>
      <c r="D36" s="30" t="s">
        <v>25</v>
      </c>
      <c r="E36" s="27"/>
      <c r="F36" s="31">
        <v>1929</v>
      </c>
      <c r="G36" s="22">
        <f t="shared" si="0"/>
        <v>0</v>
      </c>
      <c r="H36" s="25"/>
      <c r="I36" s="159">
        <f t="shared" si="1"/>
        <v>0</v>
      </c>
      <c r="J36" s="26"/>
      <c r="K36" s="27"/>
    </row>
    <row r="37" spans="1:11" x14ac:dyDescent="0.25">
      <c r="A37" s="28" t="s">
        <v>47</v>
      </c>
      <c r="B37" s="29" t="s">
        <v>98</v>
      </c>
      <c r="C37" s="18" t="s">
        <v>99</v>
      </c>
      <c r="D37" s="30" t="s">
        <v>25</v>
      </c>
      <c r="E37" s="27"/>
      <c r="F37" s="31">
        <v>3190</v>
      </c>
      <c r="G37" s="22">
        <f t="shared" si="0"/>
        <v>0</v>
      </c>
      <c r="H37" s="25"/>
      <c r="I37" s="159">
        <f t="shared" si="1"/>
        <v>0</v>
      </c>
      <c r="J37" s="26" t="s">
        <v>100</v>
      </c>
      <c r="K37" s="27"/>
    </row>
    <row r="38" spans="1:11" x14ac:dyDescent="0.25">
      <c r="A38" s="28" t="s">
        <v>47</v>
      </c>
      <c r="B38" s="29" t="s">
        <v>101</v>
      </c>
      <c r="C38" s="18" t="s">
        <v>102</v>
      </c>
      <c r="D38" s="30" t="s">
        <v>17</v>
      </c>
      <c r="E38" s="27">
        <v>20</v>
      </c>
      <c r="F38" s="31">
        <v>1341.8</v>
      </c>
      <c r="G38" s="22">
        <f t="shared" si="0"/>
        <v>26836</v>
      </c>
      <c r="H38" s="25"/>
      <c r="I38" s="159">
        <f t="shared" si="1"/>
        <v>20</v>
      </c>
      <c r="J38" s="26" t="s">
        <v>103</v>
      </c>
      <c r="K38" s="27"/>
    </row>
    <row r="39" spans="1:11" x14ac:dyDescent="0.25">
      <c r="A39" s="28" t="s">
        <v>47</v>
      </c>
      <c r="B39" s="29" t="s">
        <v>104</v>
      </c>
      <c r="C39" s="18" t="s">
        <v>105</v>
      </c>
      <c r="D39" s="30" t="s">
        <v>25</v>
      </c>
      <c r="E39" s="27"/>
      <c r="F39" s="33">
        <v>5102.1538461500004</v>
      </c>
      <c r="G39" s="22">
        <f t="shared" si="0"/>
        <v>0</v>
      </c>
      <c r="H39" s="25"/>
      <c r="I39" s="159">
        <f t="shared" si="1"/>
        <v>0</v>
      </c>
      <c r="J39" s="26" t="s">
        <v>100</v>
      </c>
      <c r="K39" s="27"/>
    </row>
    <row r="40" spans="1:11" x14ac:dyDescent="0.25">
      <c r="A40" s="28" t="s">
        <v>47</v>
      </c>
      <c r="B40" s="29" t="s">
        <v>106</v>
      </c>
      <c r="C40" s="18" t="s">
        <v>107</v>
      </c>
      <c r="D40" s="30" t="s">
        <v>25</v>
      </c>
      <c r="E40" s="27"/>
      <c r="F40" s="31">
        <v>3436</v>
      </c>
      <c r="G40" s="22">
        <f t="shared" si="0"/>
        <v>0</v>
      </c>
      <c r="H40" s="25"/>
      <c r="I40" s="159">
        <f t="shared" si="1"/>
        <v>0</v>
      </c>
      <c r="J40" s="26"/>
      <c r="K40" s="27"/>
    </row>
    <row r="41" spans="1:11" x14ac:dyDescent="0.25">
      <c r="A41" s="28" t="s">
        <v>47</v>
      </c>
      <c r="B41" s="29" t="s">
        <v>108</v>
      </c>
      <c r="C41" s="18" t="s">
        <v>109</v>
      </c>
      <c r="D41" s="30" t="s">
        <v>25</v>
      </c>
      <c r="E41" s="27">
        <v>5</v>
      </c>
      <c r="F41" s="31">
        <v>11433</v>
      </c>
      <c r="G41" s="22">
        <f t="shared" si="0"/>
        <v>57165</v>
      </c>
      <c r="H41" s="25"/>
      <c r="I41" s="159">
        <f t="shared" si="1"/>
        <v>5</v>
      </c>
      <c r="J41" s="26" t="s">
        <v>110</v>
      </c>
      <c r="K41" s="27"/>
    </row>
    <row r="42" spans="1:11" x14ac:dyDescent="0.25">
      <c r="A42" s="28" t="s">
        <v>47</v>
      </c>
      <c r="B42" s="29" t="s">
        <v>111</v>
      </c>
      <c r="C42" s="18" t="s">
        <v>112</v>
      </c>
      <c r="D42" s="30" t="s">
        <v>17</v>
      </c>
      <c r="E42" s="27">
        <v>70</v>
      </c>
      <c r="F42" s="31">
        <v>829.6</v>
      </c>
      <c r="G42" s="22">
        <f t="shared" si="0"/>
        <v>58072</v>
      </c>
      <c r="H42" s="25"/>
      <c r="I42" s="159">
        <f t="shared" si="1"/>
        <v>70</v>
      </c>
      <c r="J42" s="26" t="s">
        <v>113</v>
      </c>
      <c r="K42" s="27"/>
    </row>
    <row r="43" spans="1:11" x14ac:dyDescent="0.25">
      <c r="A43" s="28" t="s">
        <v>47</v>
      </c>
      <c r="B43" s="29" t="s">
        <v>114</v>
      </c>
      <c r="C43" s="18" t="s">
        <v>115</v>
      </c>
      <c r="D43" s="30" t="s">
        <v>17</v>
      </c>
      <c r="E43" s="27">
        <v>5</v>
      </c>
      <c r="F43" s="33">
        <v>670</v>
      </c>
      <c r="G43" s="22">
        <f t="shared" si="0"/>
        <v>3350</v>
      </c>
      <c r="H43" s="25"/>
      <c r="I43" s="159">
        <f t="shared" si="1"/>
        <v>5</v>
      </c>
      <c r="J43" s="26"/>
      <c r="K43" s="27" t="s">
        <v>80</v>
      </c>
    </row>
    <row r="44" spans="1:11" x14ac:dyDescent="0.25">
      <c r="A44" s="28" t="s">
        <v>47</v>
      </c>
      <c r="B44" s="29" t="s">
        <v>116</v>
      </c>
      <c r="C44" s="18" t="s">
        <v>117</v>
      </c>
      <c r="D44" s="30" t="s">
        <v>17</v>
      </c>
      <c r="E44" s="27">
        <v>65</v>
      </c>
      <c r="F44" s="31">
        <v>778.4</v>
      </c>
      <c r="G44" s="22">
        <f t="shared" si="0"/>
        <v>50596</v>
      </c>
      <c r="H44" s="25"/>
      <c r="I44" s="159">
        <f t="shared" si="1"/>
        <v>65</v>
      </c>
      <c r="J44" s="34" t="s">
        <v>118</v>
      </c>
      <c r="K44" s="27"/>
    </row>
    <row r="45" spans="1:11" x14ac:dyDescent="0.25">
      <c r="A45" s="28" t="s">
        <v>47</v>
      </c>
      <c r="B45" s="29" t="s">
        <v>119</v>
      </c>
      <c r="C45" s="18" t="s">
        <v>120</v>
      </c>
      <c r="D45" s="30" t="s">
        <v>17</v>
      </c>
      <c r="E45" s="27"/>
      <c r="F45" s="31">
        <v>1424</v>
      </c>
      <c r="G45" s="22">
        <f t="shared" si="0"/>
        <v>0</v>
      </c>
      <c r="H45" s="25"/>
      <c r="I45" s="159">
        <f t="shared" si="1"/>
        <v>0</v>
      </c>
      <c r="J45" s="26"/>
      <c r="K45" s="27" t="s">
        <v>80</v>
      </c>
    </row>
    <row r="46" spans="1:11" x14ac:dyDescent="0.25">
      <c r="A46" s="28" t="s">
        <v>47</v>
      </c>
      <c r="B46" s="29" t="s">
        <v>121</v>
      </c>
      <c r="C46" s="18" t="s">
        <v>122</v>
      </c>
      <c r="D46" s="30" t="s">
        <v>17</v>
      </c>
      <c r="E46" s="27"/>
      <c r="F46" s="31">
        <v>1386</v>
      </c>
      <c r="G46" s="22">
        <f t="shared" si="0"/>
        <v>0</v>
      </c>
      <c r="H46" s="25"/>
      <c r="I46" s="159">
        <f t="shared" si="1"/>
        <v>0</v>
      </c>
      <c r="J46" s="26"/>
      <c r="K46" s="27"/>
    </row>
    <row r="47" spans="1:11" x14ac:dyDescent="0.25">
      <c r="A47" s="28" t="s">
        <v>47</v>
      </c>
      <c r="B47" s="29" t="s">
        <v>123</v>
      </c>
      <c r="C47" s="18" t="s">
        <v>124</v>
      </c>
      <c r="D47" s="30" t="s">
        <v>25</v>
      </c>
      <c r="E47" s="27"/>
      <c r="F47" s="33">
        <v>1280</v>
      </c>
      <c r="G47" s="22">
        <f t="shared" si="0"/>
        <v>0</v>
      </c>
      <c r="H47" s="25"/>
      <c r="I47" s="159">
        <f t="shared" si="1"/>
        <v>0</v>
      </c>
      <c r="J47" s="26" t="s">
        <v>100</v>
      </c>
      <c r="K47" s="27"/>
    </row>
    <row r="48" spans="1:11" x14ac:dyDescent="0.25">
      <c r="A48" s="35"/>
      <c r="B48" s="203" t="s">
        <v>125</v>
      </c>
      <c r="C48" s="204"/>
      <c r="D48" s="204"/>
      <c r="E48" s="205"/>
      <c r="F48" s="36"/>
      <c r="G48" s="22">
        <f t="shared" si="0"/>
        <v>0</v>
      </c>
      <c r="H48" s="25"/>
      <c r="I48" s="159">
        <f t="shared" si="1"/>
        <v>0</v>
      </c>
      <c r="J48" s="26"/>
      <c r="K48" s="27"/>
    </row>
    <row r="49" spans="1:11" x14ac:dyDescent="0.25">
      <c r="A49" s="28" t="s">
        <v>126</v>
      </c>
      <c r="B49" s="29" t="s">
        <v>127</v>
      </c>
      <c r="C49" s="37" t="s">
        <v>128</v>
      </c>
      <c r="D49" s="30" t="s">
        <v>25</v>
      </c>
      <c r="E49" s="27">
        <v>5</v>
      </c>
      <c r="F49" s="31">
        <v>3298</v>
      </c>
      <c r="G49" s="22">
        <f t="shared" si="0"/>
        <v>16490</v>
      </c>
      <c r="H49" s="25"/>
      <c r="I49" s="159">
        <f t="shared" si="1"/>
        <v>5</v>
      </c>
      <c r="J49" s="26" t="s">
        <v>50</v>
      </c>
      <c r="K49" s="27"/>
    </row>
    <row r="50" spans="1:11" x14ac:dyDescent="0.25">
      <c r="A50" s="28" t="s">
        <v>126</v>
      </c>
      <c r="B50" s="29" t="s">
        <v>129</v>
      </c>
      <c r="C50" s="37" t="s">
        <v>130</v>
      </c>
      <c r="D50" s="30" t="s">
        <v>25</v>
      </c>
      <c r="E50" s="27">
        <v>9</v>
      </c>
      <c r="F50" s="31">
        <v>2996</v>
      </c>
      <c r="G50" s="22">
        <f t="shared" si="0"/>
        <v>26964</v>
      </c>
      <c r="H50" s="25"/>
      <c r="I50" s="159">
        <f t="shared" si="1"/>
        <v>9</v>
      </c>
      <c r="J50" s="26" t="s">
        <v>50</v>
      </c>
      <c r="K50" s="27"/>
    </row>
    <row r="51" spans="1:11" x14ac:dyDescent="0.25">
      <c r="A51" s="28" t="s">
        <v>126</v>
      </c>
      <c r="B51" s="29" t="s">
        <v>131</v>
      </c>
      <c r="C51" s="37" t="s">
        <v>132</v>
      </c>
      <c r="D51" s="30" t="s">
        <v>25</v>
      </c>
      <c r="E51" s="27">
        <v>5</v>
      </c>
      <c r="F51" s="31">
        <v>2896</v>
      </c>
      <c r="G51" s="22">
        <f t="shared" si="0"/>
        <v>14480</v>
      </c>
      <c r="H51" s="25"/>
      <c r="I51" s="159">
        <f t="shared" si="1"/>
        <v>5</v>
      </c>
      <c r="J51" s="26" t="s">
        <v>50</v>
      </c>
      <c r="K51" s="27"/>
    </row>
    <row r="52" spans="1:11" x14ac:dyDescent="0.25">
      <c r="A52" s="28" t="s">
        <v>126</v>
      </c>
      <c r="B52" s="29" t="s">
        <v>133</v>
      </c>
      <c r="C52" s="37" t="s">
        <v>134</v>
      </c>
      <c r="D52" s="30" t="s">
        <v>25</v>
      </c>
      <c r="E52" s="27">
        <v>22</v>
      </c>
      <c r="F52" s="31">
        <v>2588</v>
      </c>
      <c r="G52" s="22">
        <f t="shared" si="0"/>
        <v>56936</v>
      </c>
      <c r="H52" s="25"/>
      <c r="I52" s="159">
        <f t="shared" si="1"/>
        <v>22</v>
      </c>
      <c r="J52" s="26" t="s">
        <v>50</v>
      </c>
      <c r="K52" s="27"/>
    </row>
    <row r="53" spans="1:11" x14ac:dyDescent="0.25">
      <c r="A53" s="28" t="s">
        <v>126</v>
      </c>
      <c r="B53" s="29" t="s">
        <v>135</v>
      </c>
      <c r="C53" s="37" t="s">
        <v>136</v>
      </c>
      <c r="D53" s="30" t="s">
        <v>25</v>
      </c>
      <c r="E53" s="27">
        <v>20</v>
      </c>
      <c r="F53" s="31">
        <v>2588</v>
      </c>
      <c r="G53" s="22">
        <f t="shared" si="0"/>
        <v>51760</v>
      </c>
      <c r="H53" s="25"/>
      <c r="I53" s="159">
        <f t="shared" si="1"/>
        <v>20</v>
      </c>
      <c r="J53" s="26" t="s">
        <v>50</v>
      </c>
      <c r="K53" s="27"/>
    </row>
    <row r="54" spans="1:11" x14ac:dyDescent="0.25">
      <c r="A54" s="28" t="s">
        <v>126</v>
      </c>
      <c r="B54" s="29" t="s">
        <v>137</v>
      </c>
      <c r="C54" s="37" t="s">
        <v>138</v>
      </c>
      <c r="D54" s="30" t="s">
        <v>25</v>
      </c>
      <c r="E54" s="27">
        <v>10</v>
      </c>
      <c r="F54" s="31">
        <v>2588</v>
      </c>
      <c r="G54" s="22">
        <f t="shared" si="0"/>
        <v>25880</v>
      </c>
      <c r="H54" s="25"/>
      <c r="I54" s="159">
        <f t="shared" si="1"/>
        <v>10</v>
      </c>
      <c r="J54" s="26" t="s">
        <v>50</v>
      </c>
      <c r="K54" s="27"/>
    </row>
    <row r="55" spans="1:11" x14ac:dyDescent="0.25">
      <c r="A55" s="28" t="s">
        <v>126</v>
      </c>
      <c r="B55" s="29" t="s">
        <v>139</v>
      </c>
      <c r="C55" s="37" t="s">
        <v>140</v>
      </c>
      <c r="D55" s="30" t="s">
        <v>25</v>
      </c>
      <c r="E55" s="27">
        <v>27</v>
      </c>
      <c r="F55" s="31">
        <v>2654</v>
      </c>
      <c r="G55" s="22">
        <f t="shared" si="0"/>
        <v>71658</v>
      </c>
      <c r="H55" s="25"/>
      <c r="I55" s="159">
        <f t="shared" si="1"/>
        <v>27</v>
      </c>
      <c r="J55" s="26" t="s">
        <v>50</v>
      </c>
      <c r="K55" s="27"/>
    </row>
    <row r="56" spans="1:11" x14ac:dyDescent="0.25">
      <c r="A56" s="28" t="s">
        <v>126</v>
      </c>
      <c r="B56" s="29" t="s">
        <v>141</v>
      </c>
      <c r="C56" s="37" t="s">
        <v>142</v>
      </c>
      <c r="D56" s="30" t="s">
        <v>25</v>
      </c>
      <c r="E56" s="27">
        <v>4</v>
      </c>
      <c r="F56" s="31">
        <v>3695</v>
      </c>
      <c r="G56" s="22">
        <f t="shared" si="0"/>
        <v>14780</v>
      </c>
      <c r="H56" s="25"/>
      <c r="I56" s="159">
        <f t="shared" si="1"/>
        <v>4</v>
      </c>
      <c r="J56" s="26"/>
      <c r="K56" s="27"/>
    </row>
    <row r="57" spans="1:11" x14ac:dyDescent="0.25">
      <c r="A57" s="28" t="s">
        <v>126</v>
      </c>
      <c r="B57" s="29" t="s">
        <v>143</v>
      </c>
      <c r="C57" s="37" t="s">
        <v>144</v>
      </c>
      <c r="D57" s="30" t="s">
        <v>25</v>
      </c>
      <c r="E57" s="27">
        <v>28</v>
      </c>
      <c r="F57" s="31">
        <v>2588</v>
      </c>
      <c r="G57" s="22">
        <f t="shared" si="0"/>
        <v>72464</v>
      </c>
      <c r="H57" s="25"/>
      <c r="I57" s="159">
        <f t="shared" si="1"/>
        <v>28</v>
      </c>
      <c r="J57" s="26" t="s">
        <v>50</v>
      </c>
      <c r="K57" s="27"/>
    </row>
    <row r="58" spans="1:11" x14ac:dyDescent="0.25">
      <c r="A58" s="28" t="s">
        <v>145</v>
      </c>
      <c r="B58" s="29" t="s">
        <v>146</v>
      </c>
      <c r="C58" s="37" t="s">
        <v>147</v>
      </c>
      <c r="D58" s="30" t="s">
        <v>25</v>
      </c>
      <c r="E58" s="27">
        <v>48</v>
      </c>
      <c r="F58" s="31">
        <v>6800</v>
      </c>
      <c r="G58" s="22">
        <f t="shared" si="0"/>
        <v>326400</v>
      </c>
      <c r="H58" s="25"/>
      <c r="I58" s="159">
        <f t="shared" si="1"/>
        <v>48</v>
      </c>
      <c r="J58" s="26" t="s">
        <v>148</v>
      </c>
      <c r="K58" s="27"/>
    </row>
    <row r="59" spans="1:11" x14ac:dyDescent="0.25">
      <c r="A59" s="28" t="s">
        <v>145</v>
      </c>
      <c r="B59" s="29" t="s">
        <v>149</v>
      </c>
      <c r="C59" s="37" t="s">
        <v>150</v>
      </c>
      <c r="D59" s="30" t="s">
        <v>25</v>
      </c>
      <c r="E59" s="27">
        <v>98</v>
      </c>
      <c r="F59" s="31">
        <v>2628.66</v>
      </c>
      <c r="G59" s="22">
        <f t="shared" si="0"/>
        <v>257608.68</v>
      </c>
      <c r="H59" s="25"/>
      <c r="I59" s="159">
        <f t="shared" si="1"/>
        <v>98</v>
      </c>
      <c r="J59" s="26" t="s">
        <v>151</v>
      </c>
      <c r="K59" s="27"/>
    </row>
    <row r="60" spans="1:11" x14ac:dyDescent="0.25">
      <c r="A60" s="28" t="s">
        <v>145</v>
      </c>
      <c r="B60" s="29" t="s">
        <v>152</v>
      </c>
      <c r="C60" s="37" t="s">
        <v>153</v>
      </c>
      <c r="D60" s="30" t="s">
        <v>25</v>
      </c>
      <c r="E60" s="27">
        <v>2</v>
      </c>
      <c r="F60" s="38">
        <v>1428</v>
      </c>
      <c r="G60" s="22">
        <f t="shared" si="0"/>
        <v>2856</v>
      </c>
      <c r="H60" s="25"/>
      <c r="I60" s="159">
        <f t="shared" si="1"/>
        <v>2</v>
      </c>
      <c r="J60" s="26"/>
      <c r="K60" s="27"/>
    </row>
    <row r="61" spans="1:11" x14ac:dyDescent="0.25">
      <c r="A61" s="28" t="s">
        <v>145</v>
      </c>
      <c r="B61" s="29" t="s">
        <v>154</v>
      </c>
      <c r="C61" s="37" t="s">
        <v>155</v>
      </c>
      <c r="D61" s="30" t="s">
        <v>25</v>
      </c>
      <c r="E61" s="27">
        <v>9.1999999999999993</v>
      </c>
      <c r="F61" s="31">
        <v>3854.16</v>
      </c>
      <c r="G61" s="22">
        <f t="shared" si="0"/>
        <v>35458.271999999997</v>
      </c>
      <c r="H61" s="25"/>
      <c r="I61" s="159">
        <f t="shared" si="1"/>
        <v>9.1999999999999993</v>
      </c>
      <c r="J61" s="26" t="s">
        <v>156</v>
      </c>
      <c r="K61" s="27"/>
    </row>
    <row r="62" spans="1:11" x14ac:dyDescent="0.25">
      <c r="A62" s="28" t="s">
        <v>157</v>
      </c>
      <c r="B62" s="29" t="s">
        <v>158</v>
      </c>
      <c r="C62" s="37" t="s">
        <v>159</v>
      </c>
      <c r="D62" s="30" t="s">
        <v>25</v>
      </c>
      <c r="E62" s="27">
        <v>69</v>
      </c>
      <c r="F62" s="31">
        <v>3075</v>
      </c>
      <c r="G62" s="22">
        <f t="shared" si="0"/>
        <v>212175</v>
      </c>
      <c r="H62" s="25"/>
      <c r="I62" s="159">
        <f t="shared" si="1"/>
        <v>69</v>
      </c>
      <c r="J62" s="26" t="s">
        <v>160</v>
      </c>
      <c r="K62" s="27"/>
    </row>
    <row r="63" spans="1:11" x14ac:dyDescent="0.25">
      <c r="A63" s="28" t="s">
        <v>157</v>
      </c>
      <c r="B63" s="29" t="s">
        <v>161</v>
      </c>
      <c r="C63" s="37" t="s">
        <v>162</v>
      </c>
      <c r="D63" s="30" t="s">
        <v>25</v>
      </c>
      <c r="E63" s="27"/>
      <c r="F63" s="31">
        <v>3022</v>
      </c>
      <c r="G63" s="22">
        <f t="shared" si="0"/>
        <v>0</v>
      </c>
      <c r="H63" s="25"/>
      <c r="I63" s="159">
        <f t="shared" si="1"/>
        <v>0</v>
      </c>
      <c r="J63" s="26"/>
      <c r="K63" s="27"/>
    </row>
    <row r="64" spans="1:11" x14ac:dyDescent="0.25">
      <c r="A64" s="28" t="s">
        <v>163</v>
      </c>
      <c r="B64" s="29" t="s">
        <v>164</v>
      </c>
      <c r="C64" s="37" t="s">
        <v>165</v>
      </c>
      <c r="D64" s="30" t="s">
        <v>25</v>
      </c>
      <c r="E64" s="27">
        <v>13</v>
      </c>
      <c r="F64" s="31">
        <v>2425</v>
      </c>
      <c r="G64" s="22">
        <f t="shared" si="0"/>
        <v>31525</v>
      </c>
      <c r="H64" s="25"/>
      <c r="I64" s="159">
        <f t="shared" si="1"/>
        <v>13</v>
      </c>
      <c r="J64" s="26" t="s">
        <v>166</v>
      </c>
      <c r="K64" s="27"/>
    </row>
    <row r="65" spans="1:11" x14ac:dyDescent="0.25">
      <c r="A65" s="28" t="s">
        <v>163</v>
      </c>
      <c r="B65" s="29" t="s">
        <v>167</v>
      </c>
      <c r="C65" s="37" t="s">
        <v>168</v>
      </c>
      <c r="D65" s="30" t="s">
        <v>25</v>
      </c>
      <c r="E65" s="27"/>
      <c r="F65" s="33">
        <v>1586.5</v>
      </c>
      <c r="G65" s="22">
        <f t="shared" si="0"/>
        <v>0</v>
      </c>
      <c r="H65" s="25"/>
      <c r="I65" s="159">
        <f t="shared" si="1"/>
        <v>0</v>
      </c>
      <c r="J65" s="26"/>
      <c r="K65" s="27"/>
    </row>
    <row r="66" spans="1:11" x14ac:dyDescent="0.25">
      <c r="A66" s="28" t="s">
        <v>163</v>
      </c>
      <c r="B66" s="29" t="s">
        <v>169</v>
      </c>
      <c r="C66" s="37" t="s">
        <v>170</v>
      </c>
      <c r="D66" s="30" t="s">
        <v>25</v>
      </c>
      <c r="E66" s="27"/>
      <c r="F66" s="33">
        <v>1586.5</v>
      </c>
      <c r="G66" s="22">
        <f t="shared" si="0"/>
        <v>0</v>
      </c>
      <c r="H66" s="25"/>
      <c r="I66" s="159">
        <f t="shared" si="1"/>
        <v>0</v>
      </c>
      <c r="J66" s="26"/>
      <c r="K66" s="27"/>
    </row>
    <row r="67" spans="1:11" x14ac:dyDescent="0.25">
      <c r="A67" s="28" t="s">
        <v>163</v>
      </c>
      <c r="B67" s="29" t="s">
        <v>171</v>
      </c>
      <c r="C67" s="37" t="s">
        <v>172</v>
      </c>
      <c r="D67" s="30" t="s">
        <v>25</v>
      </c>
      <c r="E67" s="27">
        <v>286</v>
      </c>
      <c r="F67" s="38">
        <v>1191</v>
      </c>
      <c r="G67" s="22">
        <f t="shared" si="0"/>
        <v>340626</v>
      </c>
      <c r="H67" s="25"/>
      <c r="I67" s="159">
        <f t="shared" si="1"/>
        <v>286</v>
      </c>
      <c r="J67" s="26" t="s">
        <v>173</v>
      </c>
      <c r="K67" s="27"/>
    </row>
    <row r="68" spans="1:11" x14ac:dyDescent="0.25">
      <c r="A68" s="28" t="s">
        <v>163</v>
      </c>
      <c r="B68" s="29" t="s">
        <v>174</v>
      </c>
      <c r="C68" s="37" t="s">
        <v>175</v>
      </c>
      <c r="D68" s="30" t="s">
        <v>25</v>
      </c>
      <c r="E68" s="27">
        <v>23</v>
      </c>
      <c r="F68" s="31">
        <v>1526</v>
      </c>
      <c r="G68" s="22">
        <f t="shared" si="0"/>
        <v>35098</v>
      </c>
      <c r="H68" s="25"/>
      <c r="I68" s="159">
        <f t="shared" si="1"/>
        <v>23</v>
      </c>
      <c r="J68" s="26"/>
      <c r="K68" s="27" t="s">
        <v>80</v>
      </c>
    </row>
    <row r="69" spans="1:11" x14ac:dyDescent="0.25">
      <c r="A69" s="28" t="s">
        <v>163</v>
      </c>
      <c r="B69" s="29" t="s">
        <v>176</v>
      </c>
      <c r="C69" s="37" t="s">
        <v>177</v>
      </c>
      <c r="D69" s="30" t="s">
        <v>25</v>
      </c>
      <c r="E69" s="27">
        <v>195</v>
      </c>
      <c r="F69" s="31">
        <v>1508.2</v>
      </c>
      <c r="G69" s="22">
        <f t="shared" si="0"/>
        <v>294099</v>
      </c>
      <c r="H69" s="25"/>
      <c r="I69" s="159">
        <f t="shared" si="1"/>
        <v>195</v>
      </c>
      <c r="J69" s="26"/>
      <c r="K69" s="27"/>
    </row>
    <row r="70" spans="1:11" x14ac:dyDescent="0.25">
      <c r="A70" s="28" t="s">
        <v>163</v>
      </c>
      <c r="B70" s="29" t="s">
        <v>178</v>
      </c>
      <c r="C70" s="37" t="s">
        <v>179</v>
      </c>
      <c r="D70" s="30" t="s">
        <v>25</v>
      </c>
      <c r="E70" s="27"/>
      <c r="F70" s="33">
        <v>1800</v>
      </c>
      <c r="G70" s="22">
        <f t="shared" si="0"/>
        <v>0</v>
      </c>
      <c r="H70" s="25"/>
      <c r="I70" s="159">
        <f t="shared" si="1"/>
        <v>0</v>
      </c>
      <c r="J70" s="26" t="s">
        <v>173</v>
      </c>
      <c r="K70" s="27"/>
    </row>
    <row r="71" spans="1:11" x14ac:dyDescent="0.25">
      <c r="A71" s="28" t="s">
        <v>163</v>
      </c>
      <c r="B71" s="29" t="s">
        <v>180</v>
      </c>
      <c r="C71" s="37" t="s">
        <v>181</v>
      </c>
      <c r="D71" s="30" t="s">
        <v>25</v>
      </c>
      <c r="E71" s="27"/>
      <c r="F71" s="40">
        <v>2205</v>
      </c>
      <c r="G71" s="22">
        <f t="shared" ref="G71:G134" si="2">E71*F71</f>
        <v>0</v>
      </c>
      <c r="H71" s="25"/>
      <c r="I71" s="159">
        <f t="shared" ref="I71:I142" si="3">E71-H71</f>
        <v>0</v>
      </c>
      <c r="J71" s="26"/>
      <c r="K71" s="27"/>
    </row>
    <row r="72" spans="1:11" x14ac:dyDescent="0.25">
      <c r="A72" s="28" t="s">
        <v>163</v>
      </c>
      <c r="B72" s="29" t="s">
        <v>182</v>
      </c>
      <c r="C72" s="37" t="s">
        <v>183</v>
      </c>
      <c r="D72" s="30" t="s">
        <v>25</v>
      </c>
      <c r="E72" s="27"/>
      <c r="F72" s="33">
        <v>1928.2615384600001</v>
      </c>
      <c r="G72" s="22">
        <f t="shared" si="2"/>
        <v>0</v>
      </c>
      <c r="H72" s="25"/>
      <c r="I72" s="159">
        <f t="shared" si="3"/>
        <v>0</v>
      </c>
      <c r="J72" s="26" t="s">
        <v>173</v>
      </c>
      <c r="K72" s="27"/>
    </row>
    <row r="73" spans="1:11" x14ac:dyDescent="0.25">
      <c r="A73" s="28" t="s">
        <v>163</v>
      </c>
      <c r="B73" s="29" t="s">
        <v>184</v>
      </c>
      <c r="C73" s="37" t="s">
        <v>185</v>
      </c>
      <c r="D73" s="30" t="s">
        <v>25</v>
      </c>
      <c r="E73" s="27">
        <v>130</v>
      </c>
      <c r="F73" s="31">
        <v>1508.2</v>
      </c>
      <c r="G73" s="22">
        <f t="shared" si="2"/>
        <v>196066</v>
      </c>
      <c r="H73" s="25"/>
      <c r="I73" s="159">
        <f t="shared" si="3"/>
        <v>130</v>
      </c>
      <c r="J73" s="26" t="s">
        <v>173</v>
      </c>
      <c r="K73" s="27"/>
    </row>
    <row r="74" spans="1:11" x14ac:dyDescent="0.25">
      <c r="A74" s="28" t="s">
        <v>163</v>
      </c>
      <c r="B74" s="29" t="s">
        <v>186</v>
      </c>
      <c r="C74" s="37" t="s">
        <v>187</v>
      </c>
      <c r="D74" s="30" t="s">
        <v>25</v>
      </c>
      <c r="E74" s="27">
        <v>80</v>
      </c>
      <c r="F74" s="41">
        <v>1508.2</v>
      </c>
      <c r="G74" s="22">
        <f t="shared" si="2"/>
        <v>120656</v>
      </c>
      <c r="H74" s="25"/>
      <c r="I74" s="159">
        <f t="shared" si="3"/>
        <v>80</v>
      </c>
      <c r="J74" s="26" t="s">
        <v>173</v>
      </c>
      <c r="K74" s="27"/>
    </row>
    <row r="75" spans="1:11" x14ac:dyDescent="0.25">
      <c r="A75" s="28" t="s">
        <v>163</v>
      </c>
      <c r="B75" s="29" t="s">
        <v>188</v>
      </c>
      <c r="C75" s="37" t="s">
        <v>189</v>
      </c>
      <c r="D75" s="30" t="s">
        <v>25</v>
      </c>
      <c r="E75" s="27">
        <v>2</v>
      </c>
      <c r="F75" s="41">
        <v>1800</v>
      </c>
      <c r="G75" s="22">
        <f t="shared" si="2"/>
        <v>3600</v>
      </c>
      <c r="H75" s="25"/>
      <c r="I75" s="159">
        <f t="shared" si="3"/>
        <v>2</v>
      </c>
      <c r="J75" s="26"/>
      <c r="K75" s="27"/>
    </row>
    <row r="76" spans="1:11" x14ac:dyDescent="0.25">
      <c r="A76" s="28" t="s">
        <v>163</v>
      </c>
      <c r="B76" s="29" t="s">
        <v>190</v>
      </c>
      <c r="C76" s="37" t="s">
        <v>191</v>
      </c>
      <c r="D76" s="30" t="s">
        <v>25</v>
      </c>
      <c r="E76" s="27">
        <v>16</v>
      </c>
      <c r="F76" s="33">
        <v>1882.84444444</v>
      </c>
      <c r="G76" s="22">
        <f t="shared" si="2"/>
        <v>30125.511111039999</v>
      </c>
      <c r="H76" s="25"/>
      <c r="I76" s="159">
        <f t="shared" si="3"/>
        <v>16</v>
      </c>
      <c r="J76" s="26"/>
      <c r="K76" s="27" t="s">
        <v>80</v>
      </c>
    </row>
    <row r="77" spans="1:11" x14ac:dyDescent="0.25">
      <c r="A77" s="28" t="s">
        <v>163</v>
      </c>
      <c r="B77" s="29" t="s">
        <v>192</v>
      </c>
      <c r="C77" s="37" t="s">
        <v>193</v>
      </c>
      <c r="D77" s="30" t="s">
        <v>25</v>
      </c>
      <c r="E77" s="27">
        <v>16</v>
      </c>
      <c r="F77" s="33">
        <v>2091</v>
      </c>
      <c r="G77" s="22">
        <f t="shared" si="2"/>
        <v>33456</v>
      </c>
      <c r="H77" s="25"/>
      <c r="I77" s="159">
        <f t="shared" si="3"/>
        <v>16</v>
      </c>
      <c r="J77" s="26"/>
      <c r="K77" s="27" t="s">
        <v>80</v>
      </c>
    </row>
    <row r="78" spans="1:11" x14ac:dyDescent="0.25">
      <c r="A78" s="28" t="s">
        <v>163</v>
      </c>
      <c r="B78" s="29" t="s">
        <v>194</v>
      </c>
      <c r="C78" s="37" t="s">
        <v>195</v>
      </c>
      <c r="D78" s="30" t="s">
        <v>44</v>
      </c>
      <c r="E78" s="27">
        <v>34</v>
      </c>
      <c r="F78" s="33">
        <v>4279.3912170000003</v>
      </c>
      <c r="G78" s="22">
        <f t="shared" si="2"/>
        <v>145499.301378</v>
      </c>
      <c r="H78" s="25"/>
      <c r="I78" s="159">
        <f t="shared" si="3"/>
        <v>34</v>
      </c>
      <c r="J78" s="26" t="s">
        <v>173</v>
      </c>
      <c r="K78" s="27"/>
    </row>
    <row r="79" spans="1:11" x14ac:dyDescent="0.25">
      <c r="A79" s="28" t="s">
        <v>163</v>
      </c>
      <c r="B79" s="29" t="s">
        <v>196</v>
      </c>
      <c r="C79" s="37" t="s">
        <v>197</v>
      </c>
      <c r="D79" s="30" t="s">
        <v>25</v>
      </c>
      <c r="E79" s="27">
        <v>184</v>
      </c>
      <c r="F79" s="38">
        <v>5150</v>
      </c>
      <c r="G79" s="22">
        <f t="shared" si="2"/>
        <v>947600</v>
      </c>
      <c r="H79" s="25"/>
      <c r="I79" s="159">
        <f t="shared" si="3"/>
        <v>184</v>
      </c>
      <c r="J79" s="26" t="s">
        <v>50</v>
      </c>
      <c r="K79" s="27"/>
    </row>
    <row r="80" spans="1:11" x14ac:dyDescent="0.25">
      <c r="A80" s="28" t="s">
        <v>163</v>
      </c>
      <c r="B80" s="29" t="s">
        <v>198</v>
      </c>
      <c r="C80" s="37" t="s">
        <v>199</v>
      </c>
      <c r="D80" s="30" t="s">
        <v>25</v>
      </c>
      <c r="E80" s="27"/>
      <c r="F80" s="33">
        <v>3912</v>
      </c>
      <c r="G80" s="22">
        <f t="shared" si="2"/>
        <v>0</v>
      </c>
      <c r="H80" s="25"/>
      <c r="I80" s="159">
        <f t="shared" si="3"/>
        <v>0</v>
      </c>
      <c r="J80" s="26" t="s">
        <v>200</v>
      </c>
      <c r="K80" s="27"/>
    </row>
    <row r="81" spans="1:11" x14ac:dyDescent="0.25">
      <c r="A81" s="28" t="s">
        <v>163</v>
      </c>
      <c r="B81" s="29" t="s">
        <v>201</v>
      </c>
      <c r="C81" s="37" t="s">
        <v>202</v>
      </c>
      <c r="D81" s="30" t="s">
        <v>203</v>
      </c>
      <c r="E81" s="27">
        <v>7</v>
      </c>
      <c r="F81" s="33">
        <v>1603.47826087</v>
      </c>
      <c r="G81" s="22">
        <f t="shared" si="2"/>
        <v>11224.347826089999</v>
      </c>
      <c r="H81" s="25"/>
      <c r="I81" s="159">
        <f t="shared" si="3"/>
        <v>7</v>
      </c>
      <c r="J81" s="26" t="s">
        <v>204</v>
      </c>
      <c r="K81" s="27"/>
    </row>
    <row r="82" spans="1:11" x14ac:dyDescent="0.25">
      <c r="A82" s="28" t="s">
        <v>163</v>
      </c>
      <c r="B82" s="29" t="s">
        <v>205</v>
      </c>
      <c r="C82" s="37" t="s">
        <v>206</v>
      </c>
      <c r="D82" s="30" t="s">
        <v>25</v>
      </c>
      <c r="E82" s="27">
        <v>1</v>
      </c>
      <c r="F82" s="31">
        <v>2167</v>
      </c>
      <c r="G82" s="22">
        <f t="shared" si="2"/>
        <v>2167</v>
      </c>
      <c r="H82" s="25"/>
      <c r="I82" s="159">
        <f t="shared" si="3"/>
        <v>1</v>
      </c>
      <c r="J82" s="26" t="s">
        <v>207</v>
      </c>
      <c r="K82" s="27"/>
    </row>
    <row r="83" spans="1:11" x14ac:dyDescent="0.25">
      <c r="A83" s="28" t="s">
        <v>163</v>
      </c>
      <c r="B83" s="29" t="s">
        <v>208</v>
      </c>
      <c r="C83" s="37" t="s">
        <v>209</v>
      </c>
      <c r="D83" s="30" t="s">
        <v>25</v>
      </c>
      <c r="E83" s="27">
        <v>70</v>
      </c>
      <c r="F83" s="42">
        <v>2178.2051282100001</v>
      </c>
      <c r="G83" s="22">
        <f t="shared" si="2"/>
        <v>152474.35897470001</v>
      </c>
      <c r="H83" s="25"/>
      <c r="I83" s="159">
        <f t="shared" si="3"/>
        <v>70</v>
      </c>
      <c r="J83" s="26"/>
      <c r="K83" s="27" t="s">
        <v>80</v>
      </c>
    </row>
    <row r="84" spans="1:11" x14ac:dyDescent="0.25">
      <c r="A84" s="28" t="s">
        <v>163</v>
      </c>
      <c r="B84" s="29" t="s">
        <v>210</v>
      </c>
      <c r="C84" s="37" t="s">
        <v>211</v>
      </c>
      <c r="D84" s="30" t="s">
        <v>25</v>
      </c>
      <c r="E84" s="27"/>
      <c r="F84" s="42">
        <v>2178.2051282100001</v>
      </c>
      <c r="G84" s="22">
        <f t="shared" si="2"/>
        <v>0</v>
      </c>
      <c r="H84" s="25"/>
      <c r="I84" s="159">
        <f t="shared" si="3"/>
        <v>0</v>
      </c>
      <c r="J84" s="26"/>
      <c r="K84" s="27" t="s">
        <v>80</v>
      </c>
    </row>
    <row r="85" spans="1:11" x14ac:dyDescent="0.25">
      <c r="A85" s="28" t="s">
        <v>163</v>
      </c>
      <c r="B85" s="29" t="s">
        <v>212</v>
      </c>
      <c r="C85" s="37" t="s">
        <v>213</v>
      </c>
      <c r="D85" s="30" t="s">
        <v>25</v>
      </c>
      <c r="E85" s="27">
        <v>40</v>
      </c>
      <c r="F85" s="42">
        <v>1370</v>
      </c>
      <c r="G85" s="22">
        <f t="shared" si="2"/>
        <v>54800</v>
      </c>
      <c r="H85" s="25"/>
      <c r="I85" s="159">
        <f t="shared" si="3"/>
        <v>40</v>
      </c>
      <c r="J85" s="26"/>
      <c r="K85" s="27" t="s">
        <v>80</v>
      </c>
    </row>
    <row r="86" spans="1:11" x14ac:dyDescent="0.25">
      <c r="A86" s="28" t="s">
        <v>163</v>
      </c>
      <c r="B86" s="29" t="s">
        <v>214</v>
      </c>
      <c r="C86" s="37" t="s">
        <v>215</v>
      </c>
      <c r="D86" s="30" t="s">
        <v>25</v>
      </c>
      <c r="E86" s="27">
        <v>4</v>
      </c>
      <c r="F86" s="31">
        <v>1974</v>
      </c>
      <c r="G86" s="22">
        <f t="shared" si="2"/>
        <v>7896</v>
      </c>
      <c r="H86" s="25"/>
      <c r="I86" s="159">
        <f t="shared" si="3"/>
        <v>4</v>
      </c>
      <c r="J86" s="26" t="s">
        <v>216</v>
      </c>
      <c r="K86" s="27"/>
    </row>
    <row r="87" spans="1:11" x14ac:dyDescent="0.25">
      <c r="A87" s="97"/>
      <c r="B87" s="206" t="s">
        <v>217</v>
      </c>
      <c r="C87" s="207"/>
      <c r="D87" s="207"/>
      <c r="E87" s="208"/>
      <c r="F87" s="43"/>
      <c r="G87" s="22">
        <f t="shared" si="2"/>
        <v>0</v>
      </c>
      <c r="H87" s="25"/>
      <c r="I87" s="159">
        <f t="shared" si="3"/>
        <v>0</v>
      </c>
      <c r="J87" s="26"/>
      <c r="K87" s="27"/>
    </row>
    <row r="88" spans="1:11" x14ac:dyDescent="0.25">
      <c r="A88" s="28" t="s">
        <v>218</v>
      </c>
      <c r="B88" s="29" t="s">
        <v>219</v>
      </c>
      <c r="C88" s="37" t="s">
        <v>220</v>
      </c>
      <c r="D88" s="30" t="s">
        <v>25</v>
      </c>
      <c r="E88" s="27">
        <v>37</v>
      </c>
      <c r="F88" s="38">
        <v>3630</v>
      </c>
      <c r="G88" s="22">
        <f t="shared" si="2"/>
        <v>134310</v>
      </c>
      <c r="H88" s="25"/>
      <c r="I88" s="159">
        <f t="shared" si="3"/>
        <v>37</v>
      </c>
      <c r="J88" s="26" t="s">
        <v>50</v>
      </c>
      <c r="K88" s="27"/>
    </row>
    <row r="89" spans="1:11" x14ac:dyDescent="0.25">
      <c r="A89" s="28" t="s">
        <v>218</v>
      </c>
      <c r="B89" s="29" t="s">
        <v>221</v>
      </c>
      <c r="C89" s="37" t="s">
        <v>222</v>
      </c>
      <c r="D89" s="30" t="s">
        <v>25</v>
      </c>
      <c r="E89" s="27"/>
      <c r="F89" s="38">
        <v>3630</v>
      </c>
      <c r="G89" s="22">
        <f t="shared" si="2"/>
        <v>0</v>
      </c>
      <c r="H89" s="25"/>
      <c r="I89" s="159">
        <f t="shared" si="3"/>
        <v>0</v>
      </c>
      <c r="J89" s="26" t="s">
        <v>50</v>
      </c>
      <c r="K89" s="27"/>
    </row>
    <row r="90" spans="1:11" x14ac:dyDescent="0.25">
      <c r="A90" s="28" t="s">
        <v>218</v>
      </c>
      <c r="B90" s="29" t="s">
        <v>223</v>
      </c>
      <c r="C90" s="37" t="s">
        <v>224</v>
      </c>
      <c r="D90" s="30" t="s">
        <v>25</v>
      </c>
      <c r="E90" s="27"/>
      <c r="F90" s="38">
        <v>3630</v>
      </c>
      <c r="G90" s="22">
        <f t="shared" si="2"/>
        <v>0</v>
      </c>
      <c r="H90" s="25"/>
      <c r="I90" s="159">
        <f t="shared" si="3"/>
        <v>0</v>
      </c>
      <c r="J90" s="26" t="s">
        <v>50</v>
      </c>
      <c r="K90" s="27"/>
    </row>
    <row r="91" spans="1:11" x14ac:dyDescent="0.25">
      <c r="A91" s="28" t="s">
        <v>218</v>
      </c>
      <c r="B91" s="29" t="s">
        <v>225</v>
      </c>
      <c r="C91" s="37" t="s">
        <v>226</v>
      </c>
      <c r="D91" s="30" t="s">
        <v>25</v>
      </c>
      <c r="E91" s="27">
        <v>24</v>
      </c>
      <c r="F91" s="38">
        <v>3630</v>
      </c>
      <c r="G91" s="22">
        <f t="shared" si="2"/>
        <v>87120</v>
      </c>
      <c r="H91" s="25"/>
      <c r="I91" s="159">
        <f t="shared" si="3"/>
        <v>24</v>
      </c>
      <c r="J91" s="26" t="s">
        <v>50</v>
      </c>
      <c r="K91" s="27"/>
    </row>
    <row r="92" spans="1:11" x14ac:dyDescent="0.25">
      <c r="A92" s="28" t="s">
        <v>218</v>
      </c>
      <c r="B92" s="29" t="s">
        <v>227</v>
      </c>
      <c r="C92" s="37" t="s">
        <v>228</v>
      </c>
      <c r="D92" s="30" t="s">
        <v>25</v>
      </c>
      <c r="E92" s="27">
        <v>30</v>
      </c>
      <c r="F92" s="38">
        <v>3630</v>
      </c>
      <c r="G92" s="22">
        <f t="shared" si="2"/>
        <v>108900</v>
      </c>
      <c r="H92" s="25"/>
      <c r="I92" s="159">
        <f t="shared" si="3"/>
        <v>30</v>
      </c>
      <c r="J92" s="26"/>
      <c r="K92" s="27"/>
    </row>
    <row r="93" spans="1:11" x14ac:dyDescent="0.25">
      <c r="A93" s="28" t="s">
        <v>218</v>
      </c>
      <c r="B93" s="29" t="s">
        <v>229</v>
      </c>
      <c r="C93" s="37" t="s">
        <v>230</v>
      </c>
      <c r="D93" s="30" t="s">
        <v>25</v>
      </c>
      <c r="E93" s="27">
        <v>46</v>
      </c>
      <c r="F93" s="38">
        <v>3630</v>
      </c>
      <c r="G93" s="22">
        <f t="shared" si="2"/>
        <v>166980</v>
      </c>
      <c r="H93" s="25"/>
      <c r="I93" s="159">
        <f t="shared" si="3"/>
        <v>46</v>
      </c>
      <c r="J93" s="26" t="s">
        <v>50</v>
      </c>
      <c r="K93" s="27"/>
    </row>
    <row r="94" spans="1:11" x14ac:dyDescent="0.25">
      <c r="A94" s="28" t="s">
        <v>218</v>
      </c>
      <c r="B94" s="29" t="s">
        <v>231</v>
      </c>
      <c r="C94" s="37" t="s">
        <v>232</v>
      </c>
      <c r="D94" s="30" t="s">
        <v>25</v>
      </c>
      <c r="E94" s="27"/>
      <c r="F94" s="38">
        <v>3630</v>
      </c>
      <c r="G94" s="22">
        <f t="shared" si="2"/>
        <v>0</v>
      </c>
      <c r="H94" s="25"/>
      <c r="I94" s="159">
        <f t="shared" si="3"/>
        <v>0</v>
      </c>
      <c r="J94" s="26" t="s">
        <v>50</v>
      </c>
      <c r="K94" s="27"/>
    </row>
    <row r="95" spans="1:11" x14ac:dyDescent="0.25">
      <c r="A95" s="28" t="s">
        <v>218</v>
      </c>
      <c r="B95" s="29" t="s">
        <v>233</v>
      </c>
      <c r="C95" s="37" t="s">
        <v>234</v>
      </c>
      <c r="D95" s="30" t="s">
        <v>25</v>
      </c>
      <c r="E95" s="27">
        <v>5</v>
      </c>
      <c r="F95" s="38">
        <v>3630</v>
      </c>
      <c r="G95" s="22">
        <f t="shared" si="2"/>
        <v>18150</v>
      </c>
      <c r="H95" s="25"/>
      <c r="I95" s="159">
        <f t="shared" si="3"/>
        <v>5</v>
      </c>
      <c r="J95" s="26" t="s">
        <v>50</v>
      </c>
      <c r="K95" s="27"/>
    </row>
    <row r="96" spans="1:11" x14ac:dyDescent="0.25">
      <c r="A96" s="28" t="s">
        <v>218</v>
      </c>
      <c r="B96" s="29" t="s">
        <v>235</v>
      </c>
      <c r="C96" s="37" t="s">
        <v>236</v>
      </c>
      <c r="D96" s="30" t="s">
        <v>25</v>
      </c>
      <c r="E96" s="27">
        <v>10</v>
      </c>
      <c r="F96" s="38">
        <v>3630</v>
      </c>
      <c r="G96" s="22">
        <f t="shared" si="2"/>
        <v>36300</v>
      </c>
      <c r="H96" s="25"/>
      <c r="I96" s="159">
        <f t="shared" si="3"/>
        <v>10</v>
      </c>
      <c r="J96" s="26" t="s">
        <v>50</v>
      </c>
      <c r="K96" s="27"/>
    </row>
    <row r="97" spans="1:11" x14ac:dyDescent="0.25">
      <c r="A97" s="28" t="s">
        <v>218</v>
      </c>
      <c r="B97" s="29" t="s">
        <v>237</v>
      </c>
      <c r="C97" s="37" t="s">
        <v>238</v>
      </c>
      <c r="D97" s="30" t="s">
        <v>25</v>
      </c>
      <c r="E97" s="27">
        <v>18</v>
      </c>
      <c r="F97" s="38">
        <v>3630</v>
      </c>
      <c r="G97" s="22">
        <f t="shared" si="2"/>
        <v>65340</v>
      </c>
      <c r="H97" s="25"/>
      <c r="I97" s="159">
        <f t="shared" si="3"/>
        <v>18</v>
      </c>
      <c r="J97" s="26"/>
      <c r="K97" s="27"/>
    </row>
    <row r="98" spans="1:11" x14ac:dyDescent="0.25">
      <c r="A98" s="28" t="s">
        <v>218</v>
      </c>
      <c r="B98" s="29" t="s">
        <v>239</v>
      </c>
      <c r="C98" s="37" t="s">
        <v>240</v>
      </c>
      <c r="D98" s="30" t="s">
        <v>25</v>
      </c>
      <c r="E98" s="27"/>
      <c r="F98" s="38">
        <v>3630</v>
      </c>
      <c r="G98" s="22">
        <f t="shared" si="2"/>
        <v>0</v>
      </c>
      <c r="H98" s="25"/>
      <c r="I98" s="159">
        <f t="shared" si="3"/>
        <v>0</v>
      </c>
      <c r="J98" s="26"/>
      <c r="K98" s="27"/>
    </row>
    <row r="99" spans="1:11" x14ac:dyDescent="0.25">
      <c r="A99" s="28" t="s">
        <v>218</v>
      </c>
      <c r="B99" s="29" t="s">
        <v>241</v>
      </c>
      <c r="C99" s="37" t="s">
        <v>242</v>
      </c>
      <c r="D99" s="30" t="s">
        <v>25</v>
      </c>
      <c r="E99" s="27"/>
      <c r="F99" s="38">
        <v>3630</v>
      </c>
      <c r="G99" s="22">
        <f t="shared" si="2"/>
        <v>0</v>
      </c>
      <c r="H99" s="25"/>
      <c r="I99" s="159">
        <f t="shared" si="3"/>
        <v>0</v>
      </c>
      <c r="J99" s="26"/>
      <c r="K99" s="27"/>
    </row>
    <row r="100" spans="1:11" x14ac:dyDescent="0.25">
      <c r="A100" s="28" t="s">
        <v>243</v>
      </c>
      <c r="B100" s="29" t="s">
        <v>244</v>
      </c>
      <c r="C100" s="37" t="s">
        <v>245</v>
      </c>
      <c r="D100" s="30" t="s">
        <v>25</v>
      </c>
      <c r="E100" s="27"/>
      <c r="F100" s="38">
        <v>3150</v>
      </c>
      <c r="G100" s="22">
        <f t="shared" si="2"/>
        <v>0</v>
      </c>
      <c r="H100" s="25"/>
      <c r="I100" s="159">
        <f t="shared" si="3"/>
        <v>0</v>
      </c>
      <c r="J100" s="26" t="s">
        <v>246</v>
      </c>
      <c r="K100" s="27"/>
    </row>
    <row r="101" spans="1:11" x14ac:dyDescent="0.25">
      <c r="A101" s="28" t="s">
        <v>243</v>
      </c>
      <c r="B101" s="29" t="s">
        <v>247</v>
      </c>
      <c r="C101" s="37" t="s">
        <v>248</v>
      </c>
      <c r="D101" s="30" t="s">
        <v>25</v>
      </c>
      <c r="E101" s="27">
        <v>23</v>
      </c>
      <c r="F101" s="38">
        <v>2850</v>
      </c>
      <c r="G101" s="22">
        <f t="shared" si="2"/>
        <v>65550</v>
      </c>
      <c r="H101" s="25"/>
      <c r="I101" s="159">
        <f t="shared" si="3"/>
        <v>23</v>
      </c>
      <c r="J101" s="26" t="s">
        <v>249</v>
      </c>
      <c r="K101" s="27"/>
    </row>
    <row r="102" spans="1:11" x14ac:dyDescent="0.25">
      <c r="A102" s="53"/>
      <c r="B102" s="209" t="s">
        <v>250</v>
      </c>
      <c r="C102" s="210"/>
      <c r="D102" s="210"/>
      <c r="E102" s="211"/>
      <c r="F102" s="44"/>
      <c r="G102" s="22">
        <f t="shared" si="2"/>
        <v>0</v>
      </c>
      <c r="H102" s="25"/>
      <c r="I102" s="159">
        <f t="shared" si="3"/>
        <v>0</v>
      </c>
      <c r="J102" s="26"/>
      <c r="K102" s="27"/>
    </row>
    <row r="103" spans="1:11" x14ac:dyDescent="0.25">
      <c r="A103" s="28" t="s">
        <v>243</v>
      </c>
      <c r="B103" s="29" t="s">
        <v>235</v>
      </c>
      <c r="C103" s="37" t="s">
        <v>242</v>
      </c>
      <c r="D103" s="30" t="s">
        <v>25</v>
      </c>
      <c r="E103" s="27"/>
      <c r="F103" s="38">
        <v>5350</v>
      </c>
      <c r="G103" s="22">
        <f t="shared" si="2"/>
        <v>0</v>
      </c>
      <c r="H103" s="25"/>
      <c r="I103" s="159">
        <f t="shared" si="3"/>
        <v>0</v>
      </c>
      <c r="J103" s="26"/>
      <c r="K103" s="27"/>
    </row>
    <row r="104" spans="1:11" x14ac:dyDescent="0.25">
      <c r="A104" s="28" t="s">
        <v>243</v>
      </c>
      <c r="B104" s="29" t="s">
        <v>219</v>
      </c>
      <c r="C104" s="37" t="s">
        <v>245</v>
      </c>
      <c r="D104" s="30" t="s">
        <v>25</v>
      </c>
      <c r="E104" s="27"/>
      <c r="F104" s="38">
        <v>5350</v>
      </c>
      <c r="G104" s="22">
        <f t="shared" si="2"/>
        <v>0</v>
      </c>
      <c r="H104" s="25"/>
      <c r="I104" s="159">
        <f t="shared" si="3"/>
        <v>0</v>
      </c>
      <c r="J104" s="26"/>
      <c r="K104" s="27"/>
    </row>
    <row r="105" spans="1:11" x14ac:dyDescent="0.25">
      <c r="A105" s="28" t="s">
        <v>243</v>
      </c>
      <c r="B105" s="29" t="s">
        <v>251</v>
      </c>
      <c r="C105" s="37" t="s">
        <v>248</v>
      </c>
      <c r="D105" s="30" t="s">
        <v>25</v>
      </c>
      <c r="E105" s="27">
        <v>13</v>
      </c>
      <c r="F105" s="38">
        <v>5350</v>
      </c>
      <c r="G105" s="22">
        <f t="shared" si="2"/>
        <v>69550</v>
      </c>
      <c r="H105" s="25"/>
      <c r="I105" s="159">
        <f t="shared" si="3"/>
        <v>13</v>
      </c>
      <c r="J105" s="26"/>
      <c r="K105" s="27"/>
    </row>
    <row r="106" spans="1:11" x14ac:dyDescent="0.25">
      <c r="A106" s="28" t="s">
        <v>243</v>
      </c>
      <c r="B106" s="29" t="s">
        <v>227</v>
      </c>
      <c r="C106" s="37" t="s">
        <v>252</v>
      </c>
      <c r="D106" s="30" t="s">
        <v>25</v>
      </c>
      <c r="E106" s="27"/>
      <c r="F106" s="38">
        <v>5350</v>
      </c>
      <c r="G106" s="22">
        <f t="shared" si="2"/>
        <v>0</v>
      </c>
      <c r="H106" s="25"/>
      <c r="I106" s="159">
        <f t="shared" si="3"/>
        <v>0</v>
      </c>
      <c r="J106" s="26"/>
      <c r="K106" s="27"/>
    </row>
    <row r="107" spans="1:11" x14ac:dyDescent="0.25">
      <c r="A107" s="165"/>
      <c r="B107" s="212" t="s">
        <v>253</v>
      </c>
      <c r="C107" s="213"/>
      <c r="D107" s="213"/>
      <c r="E107" s="214"/>
      <c r="F107" s="45"/>
      <c r="G107" s="22">
        <f t="shared" si="2"/>
        <v>0</v>
      </c>
      <c r="H107" s="25"/>
      <c r="I107" s="159">
        <f t="shared" si="3"/>
        <v>0</v>
      </c>
      <c r="J107" s="26"/>
      <c r="K107" s="27"/>
    </row>
    <row r="108" spans="1:11" x14ac:dyDescent="0.25">
      <c r="A108" s="28" t="s">
        <v>243</v>
      </c>
      <c r="B108" s="29" t="s">
        <v>254</v>
      </c>
      <c r="C108" s="37" t="s">
        <v>255</v>
      </c>
      <c r="D108" s="30" t="s">
        <v>25</v>
      </c>
      <c r="E108" s="27">
        <v>12</v>
      </c>
      <c r="F108" s="38">
        <v>3090</v>
      </c>
      <c r="G108" s="22">
        <f t="shared" si="2"/>
        <v>37080</v>
      </c>
      <c r="H108" s="25"/>
      <c r="I108" s="159">
        <f t="shared" si="3"/>
        <v>12</v>
      </c>
      <c r="J108" s="26"/>
      <c r="K108" s="27"/>
    </row>
    <row r="109" spans="1:11" x14ac:dyDescent="0.25">
      <c r="A109" s="28" t="s">
        <v>243</v>
      </c>
      <c r="B109" s="29" t="s">
        <v>256</v>
      </c>
      <c r="C109" s="37" t="s">
        <v>257</v>
      </c>
      <c r="D109" s="30" t="s">
        <v>25</v>
      </c>
      <c r="E109" s="27"/>
      <c r="F109" s="38">
        <v>3090</v>
      </c>
      <c r="G109" s="22">
        <f t="shared" si="2"/>
        <v>0</v>
      </c>
      <c r="H109" s="25"/>
      <c r="I109" s="159">
        <f t="shared" si="3"/>
        <v>0</v>
      </c>
      <c r="J109" s="26"/>
      <c r="K109" s="27"/>
    </row>
    <row r="110" spans="1:11" x14ac:dyDescent="0.25">
      <c r="A110" s="28" t="s">
        <v>243</v>
      </c>
      <c r="B110" s="29" t="s">
        <v>258</v>
      </c>
      <c r="C110" s="37" t="s">
        <v>259</v>
      </c>
      <c r="D110" s="30" t="s">
        <v>25</v>
      </c>
      <c r="E110" s="27">
        <v>18</v>
      </c>
      <c r="F110" s="38">
        <v>3090</v>
      </c>
      <c r="G110" s="22">
        <f t="shared" si="2"/>
        <v>55620</v>
      </c>
      <c r="H110" s="25"/>
      <c r="I110" s="159">
        <f t="shared" si="3"/>
        <v>18</v>
      </c>
      <c r="J110" s="26"/>
      <c r="K110" s="27"/>
    </row>
    <row r="111" spans="1:11" ht="14.25" customHeight="1" x14ac:dyDescent="0.25">
      <c r="A111" s="28" t="s">
        <v>243</v>
      </c>
      <c r="B111" s="29" t="s">
        <v>260</v>
      </c>
      <c r="C111" s="37" t="s">
        <v>261</v>
      </c>
      <c r="D111" s="30" t="s">
        <v>25</v>
      </c>
      <c r="E111" s="27">
        <v>15</v>
      </c>
      <c r="F111" s="38">
        <v>3090</v>
      </c>
      <c r="G111" s="22">
        <f t="shared" si="2"/>
        <v>46350</v>
      </c>
      <c r="H111" s="25"/>
      <c r="I111" s="159">
        <f t="shared" si="3"/>
        <v>15</v>
      </c>
      <c r="J111" s="26"/>
      <c r="K111" s="27"/>
    </row>
    <row r="112" spans="1:11" x14ac:dyDescent="0.25">
      <c r="A112" s="28" t="s">
        <v>243</v>
      </c>
      <c r="B112" s="29" t="s">
        <v>262</v>
      </c>
      <c r="C112" s="37" t="s">
        <v>263</v>
      </c>
      <c r="D112" s="30" t="s">
        <v>25</v>
      </c>
      <c r="E112" s="27">
        <v>13</v>
      </c>
      <c r="F112" s="38">
        <v>3090</v>
      </c>
      <c r="G112" s="22">
        <f t="shared" si="2"/>
        <v>40170</v>
      </c>
      <c r="H112" s="25"/>
      <c r="I112" s="159">
        <f t="shared" si="3"/>
        <v>13</v>
      </c>
      <c r="J112" s="26"/>
      <c r="K112" s="27"/>
    </row>
    <row r="113" spans="1:11" x14ac:dyDescent="0.25">
      <c r="A113" s="28" t="s">
        <v>243</v>
      </c>
      <c r="B113" s="29" t="s">
        <v>264</v>
      </c>
      <c r="C113" s="37" t="s">
        <v>265</v>
      </c>
      <c r="D113" s="30" t="s">
        <v>25</v>
      </c>
      <c r="E113" s="27">
        <v>20</v>
      </c>
      <c r="F113" s="38">
        <v>3090</v>
      </c>
      <c r="G113" s="22">
        <f t="shared" si="2"/>
        <v>61800</v>
      </c>
      <c r="H113" s="25"/>
      <c r="I113" s="159">
        <f t="shared" si="3"/>
        <v>20</v>
      </c>
      <c r="J113" s="26"/>
      <c r="K113" s="27"/>
    </row>
    <row r="114" spans="1:11" x14ac:dyDescent="0.25">
      <c r="A114" s="28" t="s">
        <v>243</v>
      </c>
      <c r="B114" s="29" t="s">
        <v>266</v>
      </c>
      <c r="C114" s="37" t="s">
        <v>267</v>
      </c>
      <c r="D114" s="30" t="s">
        <v>25</v>
      </c>
      <c r="E114" s="27">
        <v>15</v>
      </c>
      <c r="F114" s="38">
        <v>3090</v>
      </c>
      <c r="G114" s="22">
        <f t="shared" si="2"/>
        <v>46350</v>
      </c>
      <c r="H114" s="25"/>
      <c r="I114" s="159">
        <f t="shared" si="3"/>
        <v>15</v>
      </c>
      <c r="J114" s="26"/>
      <c r="K114" s="27"/>
    </row>
    <row r="115" spans="1:11" x14ac:dyDescent="0.25">
      <c r="A115" s="28" t="s">
        <v>243</v>
      </c>
      <c r="B115" s="29" t="s">
        <v>268</v>
      </c>
      <c r="C115" s="37" t="s">
        <v>269</v>
      </c>
      <c r="D115" s="30" t="s">
        <v>25</v>
      </c>
      <c r="E115" s="27"/>
      <c r="F115" s="38">
        <v>3090</v>
      </c>
      <c r="G115" s="22">
        <f t="shared" si="2"/>
        <v>0</v>
      </c>
      <c r="H115" s="25"/>
      <c r="I115" s="159">
        <f t="shared" si="3"/>
        <v>0</v>
      </c>
      <c r="J115" s="26"/>
      <c r="K115" s="27"/>
    </row>
    <row r="116" spans="1:11" x14ac:dyDescent="0.25">
      <c r="A116" s="166"/>
      <c r="B116" s="215" t="s">
        <v>270</v>
      </c>
      <c r="C116" s="216"/>
      <c r="D116" s="216"/>
      <c r="E116" s="217"/>
      <c r="F116" s="86"/>
      <c r="G116" s="22">
        <f t="shared" si="2"/>
        <v>0</v>
      </c>
      <c r="H116" s="25"/>
      <c r="I116" s="159">
        <f t="shared" si="3"/>
        <v>0</v>
      </c>
      <c r="J116" s="26"/>
      <c r="K116" s="27"/>
    </row>
    <row r="117" spans="1:11" x14ac:dyDescent="0.25">
      <c r="A117" s="28" t="s">
        <v>243</v>
      </c>
      <c r="B117" s="29" t="s">
        <v>254</v>
      </c>
      <c r="C117" s="37" t="s">
        <v>271</v>
      </c>
      <c r="D117" s="30" t="s">
        <v>25</v>
      </c>
      <c r="E117" s="27">
        <v>18</v>
      </c>
      <c r="F117" s="38">
        <v>4700</v>
      </c>
      <c r="G117" s="22">
        <f t="shared" si="2"/>
        <v>84600</v>
      </c>
      <c r="H117" s="25"/>
      <c r="I117" s="159">
        <f t="shared" si="3"/>
        <v>18</v>
      </c>
      <c r="J117" s="26"/>
      <c r="K117" s="27"/>
    </row>
    <row r="118" spans="1:11" x14ac:dyDescent="0.25">
      <c r="A118" s="28" t="s">
        <v>243</v>
      </c>
      <c r="B118" s="29" t="s">
        <v>256</v>
      </c>
      <c r="C118" s="37" t="s">
        <v>272</v>
      </c>
      <c r="D118" s="30" t="s">
        <v>25</v>
      </c>
      <c r="E118" s="27">
        <v>8</v>
      </c>
      <c r="F118" s="38">
        <v>4700</v>
      </c>
      <c r="G118" s="22">
        <f t="shared" si="2"/>
        <v>37600</v>
      </c>
      <c r="H118" s="25"/>
      <c r="I118" s="159">
        <f t="shared" si="3"/>
        <v>8</v>
      </c>
      <c r="J118" s="26"/>
      <c r="K118" s="27"/>
    </row>
    <row r="119" spans="1:11" x14ac:dyDescent="0.25">
      <c r="A119" s="28" t="s">
        <v>243</v>
      </c>
      <c r="B119" s="29" t="s">
        <v>235</v>
      </c>
      <c r="C119" s="37" t="s">
        <v>273</v>
      </c>
      <c r="D119" s="30" t="s">
        <v>25</v>
      </c>
      <c r="E119" s="27">
        <v>32</v>
      </c>
      <c r="F119" s="38">
        <v>4700</v>
      </c>
      <c r="G119" s="22">
        <f t="shared" si="2"/>
        <v>150400</v>
      </c>
      <c r="H119" s="25"/>
      <c r="I119" s="159">
        <f t="shared" si="3"/>
        <v>32</v>
      </c>
      <c r="J119" s="26"/>
      <c r="K119" s="27"/>
    </row>
    <row r="120" spans="1:11" x14ac:dyDescent="0.25">
      <c r="A120" s="28" t="s">
        <v>243</v>
      </c>
      <c r="B120" s="29" t="s">
        <v>219</v>
      </c>
      <c r="C120" s="37" t="s">
        <v>274</v>
      </c>
      <c r="D120" s="30" t="s">
        <v>25</v>
      </c>
      <c r="E120" s="27">
        <v>21</v>
      </c>
      <c r="F120" s="38">
        <v>4700</v>
      </c>
      <c r="G120" s="22">
        <f t="shared" si="2"/>
        <v>98700</v>
      </c>
      <c r="H120" s="25"/>
      <c r="I120" s="159">
        <f t="shared" si="3"/>
        <v>21</v>
      </c>
      <c r="J120" s="26"/>
      <c r="K120" s="27"/>
    </row>
    <row r="121" spans="1:11" x14ac:dyDescent="0.25">
      <c r="A121" s="28" t="s">
        <v>243</v>
      </c>
      <c r="B121" s="29" t="s">
        <v>223</v>
      </c>
      <c r="C121" s="37" t="s">
        <v>275</v>
      </c>
      <c r="D121" s="30" t="s">
        <v>25</v>
      </c>
      <c r="E121" s="27">
        <v>7</v>
      </c>
      <c r="F121" s="38">
        <v>4700</v>
      </c>
      <c r="G121" s="22">
        <f t="shared" si="2"/>
        <v>32900</v>
      </c>
      <c r="H121" s="25"/>
      <c r="I121" s="159">
        <f t="shared" si="3"/>
        <v>7</v>
      </c>
      <c r="J121" s="26"/>
      <c r="K121" s="27"/>
    </row>
    <row r="122" spans="1:11" x14ac:dyDescent="0.25">
      <c r="A122" s="28" t="s">
        <v>243</v>
      </c>
      <c r="B122" s="29" t="s">
        <v>233</v>
      </c>
      <c r="C122" s="37" t="s">
        <v>276</v>
      </c>
      <c r="D122" s="30" t="s">
        <v>25</v>
      </c>
      <c r="E122" s="27">
        <v>14</v>
      </c>
      <c r="F122" s="38">
        <v>4700</v>
      </c>
      <c r="G122" s="22">
        <f t="shared" si="2"/>
        <v>65800</v>
      </c>
      <c r="H122" s="25"/>
      <c r="I122" s="159">
        <f t="shared" si="3"/>
        <v>14</v>
      </c>
      <c r="J122" s="26"/>
      <c r="K122" s="27"/>
    </row>
    <row r="123" spans="1:11" x14ac:dyDescent="0.25">
      <c r="A123" s="28" t="s">
        <v>243</v>
      </c>
      <c r="B123" s="29" t="s">
        <v>251</v>
      </c>
      <c r="C123" s="37" t="s">
        <v>277</v>
      </c>
      <c r="D123" s="30" t="s">
        <v>25</v>
      </c>
      <c r="E123" s="27"/>
      <c r="F123" s="38">
        <v>4700</v>
      </c>
      <c r="G123" s="22">
        <f t="shared" si="2"/>
        <v>0</v>
      </c>
      <c r="H123" s="25"/>
      <c r="I123" s="159">
        <f t="shared" si="3"/>
        <v>0</v>
      </c>
      <c r="J123" s="26"/>
      <c r="K123" s="27"/>
    </row>
    <row r="124" spans="1:11" x14ac:dyDescent="0.25">
      <c r="A124" s="28" t="s">
        <v>243</v>
      </c>
      <c r="B124" s="29" t="s">
        <v>278</v>
      </c>
      <c r="C124" s="37" t="s">
        <v>279</v>
      </c>
      <c r="D124" s="30" t="s">
        <v>25</v>
      </c>
      <c r="E124" s="27"/>
      <c r="F124" s="38">
        <v>4700</v>
      </c>
      <c r="G124" s="22">
        <f t="shared" si="2"/>
        <v>0</v>
      </c>
      <c r="H124" s="25"/>
      <c r="I124" s="159">
        <f t="shared" si="3"/>
        <v>0</v>
      </c>
      <c r="J124" s="26"/>
      <c r="K124" s="27"/>
    </row>
    <row r="125" spans="1:11" x14ac:dyDescent="0.25">
      <c r="A125" s="28" t="s">
        <v>243</v>
      </c>
      <c r="B125" s="29" t="s">
        <v>239</v>
      </c>
      <c r="C125" s="37" t="s">
        <v>280</v>
      </c>
      <c r="D125" s="30" t="s">
        <v>25</v>
      </c>
      <c r="E125" s="27">
        <v>1</v>
      </c>
      <c r="F125" s="38">
        <v>4700</v>
      </c>
      <c r="G125" s="22">
        <f t="shared" si="2"/>
        <v>4700</v>
      </c>
      <c r="H125" s="25"/>
      <c r="I125" s="159">
        <f t="shared" si="3"/>
        <v>1</v>
      </c>
      <c r="J125" s="26"/>
      <c r="K125" s="27"/>
    </row>
    <row r="126" spans="1:11" x14ac:dyDescent="0.25">
      <c r="A126" s="28" t="s">
        <v>243</v>
      </c>
      <c r="B126" s="29" t="s">
        <v>221</v>
      </c>
      <c r="C126" s="37" t="s">
        <v>281</v>
      </c>
      <c r="D126" s="30" t="s">
        <v>25</v>
      </c>
      <c r="E126" s="27">
        <v>9</v>
      </c>
      <c r="F126" s="38">
        <v>4700</v>
      </c>
      <c r="G126" s="22">
        <f t="shared" si="2"/>
        <v>42300</v>
      </c>
      <c r="H126" s="25"/>
      <c r="I126" s="159">
        <f t="shared" si="3"/>
        <v>9</v>
      </c>
      <c r="J126" s="26"/>
      <c r="K126" s="27"/>
    </row>
    <row r="127" spans="1:11" x14ac:dyDescent="0.25">
      <c r="A127" s="28" t="s">
        <v>243</v>
      </c>
      <c r="B127" s="29" t="s">
        <v>282</v>
      </c>
      <c r="C127" s="37" t="s">
        <v>283</v>
      </c>
      <c r="D127" s="30" t="s">
        <v>25</v>
      </c>
      <c r="E127" s="27">
        <v>4.5</v>
      </c>
      <c r="F127" s="31">
        <v>10380</v>
      </c>
      <c r="G127" s="22">
        <f t="shared" si="2"/>
        <v>46710</v>
      </c>
      <c r="H127" s="25"/>
      <c r="I127" s="159">
        <f t="shared" si="3"/>
        <v>4.5</v>
      </c>
      <c r="J127" s="26" t="s">
        <v>284</v>
      </c>
      <c r="K127" s="27"/>
    </row>
    <row r="128" spans="1:11" x14ac:dyDescent="0.25">
      <c r="A128" s="28" t="s">
        <v>243</v>
      </c>
      <c r="B128" s="29" t="s">
        <v>285</v>
      </c>
      <c r="C128" s="37" t="s">
        <v>286</v>
      </c>
      <c r="D128" s="30" t="s">
        <v>25</v>
      </c>
      <c r="E128" s="27"/>
      <c r="F128" s="31">
        <v>7036</v>
      </c>
      <c r="G128" s="22">
        <f t="shared" si="2"/>
        <v>0</v>
      </c>
      <c r="H128" s="25"/>
      <c r="I128" s="159">
        <f t="shared" si="3"/>
        <v>0</v>
      </c>
      <c r="J128" s="26"/>
      <c r="K128" s="27"/>
    </row>
    <row r="129" spans="1:11" x14ac:dyDescent="0.25">
      <c r="A129" s="28" t="s">
        <v>243</v>
      </c>
      <c r="B129" s="29" t="s">
        <v>287</v>
      </c>
      <c r="C129" s="37" t="s">
        <v>288</v>
      </c>
      <c r="D129" s="30" t="s">
        <v>25</v>
      </c>
      <c r="E129" s="27">
        <v>8</v>
      </c>
      <c r="F129" s="31">
        <v>2945</v>
      </c>
      <c r="G129" s="22">
        <f t="shared" si="2"/>
        <v>23560</v>
      </c>
      <c r="H129" s="25"/>
      <c r="I129" s="159">
        <f t="shared" si="3"/>
        <v>8</v>
      </c>
      <c r="J129" s="26"/>
      <c r="K129" s="27"/>
    </row>
    <row r="130" spans="1:11" x14ac:dyDescent="0.25">
      <c r="A130" s="28" t="s">
        <v>243</v>
      </c>
      <c r="B130" s="29" t="s">
        <v>289</v>
      </c>
      <c r="C130" s="37" t="s">
        <v>290</v>
      </c>
      <c r="D130" s="30" t="s">
        <v>25</v>
      </c>
      <c r="E130" s="27">
        <v>2</v>
      </c>
      <c r="F130" s="31">
        <v>2805</v>
      </c>
      <c r="G130" s="22">
        <f t="shared" si="2"/>
        <v>5610</v>
      </c>
      <c r="H130" s="25"/>
      <c r="I130" s="159">
        <f t="shared" si="3"/>
        <v>2</v>
      </c>
      <c r="J130" s="26"/>
      <c r="K130" s="27"/>
    </row>
    <row r="131" spans="1:11" x14ac:dyDescent="0.25">
      <c r="A131" s="46"/>
      <c r="B131" s="218" t="s">
        <v>291</v>
      </c>
      <c r="C131" s="219"/>
      <c r="D131" s="219"/>
      <c r="E131" s="220"/>
      <c r="F131" s="47"/>
      <c r="G131" s="22">
        <f t="shared" si="2"/>
        <v>0</v>
      </c>
      <c r="H131" s="25"/>
      <c r="I131" s="159">
        <f t="shared" si="3"/>
        <v>0</v>
      </c>
      <c r="J131" s="26"/>
      <c r="K131" s="27"/>
    </row>
    <row r="132" spans="1:11" x14ac:dyDescent="0.25">
      <c r="A132" s="28" t="s">
        <v>243</v>
      </c>
      <c r="B132" s="29" t="s">
        <v>292</v>
      </c>
      <c r="C132" s="37" t="s">
        <v>290</v>
      </c>
      <c r="D132" s="30" t="s">
        <v>25</v>
      </c>
      <c r="E132" s="27"/>
      <c r="F132" s="31">
        <v>4855</v>
      </c>
      <c r="G132" s="22">
        <f t="shared" si="2"/>
        <v>0</v>
      </c>
      <c r="H132" s="25"/>
      <c r="I132" s="159">
        <f t="shared" si="3"/>
        <v>0</v>
      </c>
      <c r="J132" s="26"/>
      <c r="K132" s="27"/>
    </row>
    <row r="133" spans="1:11" x14ac:dyDescent="0.25">
      <c r="A133" s="28" t="s">
        <v>243</v>
      </c>
      <c r="B133" s="29" t="s">
        <v>260</v>
      </c>
      <c r="C133" s="37" t="s">
        <v>293</v>
      </c>
      <c r="D133" s="30" t="s">
        <v>25</v>
      </c>
      <c r="E133" s="27">
        <v>10</v>
      </c>
      <c r="F133" s="38">
        <v>4755</v>
      </c>
      <c r="G133" s="22">
        <f t="shared" si="2"/>
        <v>47550</v>
      </c>
      <c r="H133" s="25"/>
      <c r="I133" s="159">
        <f t="shared" si="3"/>
        <v>10</v>
      </c>
      <c r="J133" s="26"/>
      <c r="K133" s="27"/>
    </row>
    <row r="134" spans="1:11" x14ac:dyDescent="0.25">
      <c r="A134" s="28" t="s">
        <v>243</v>
      </c>
      <c r="B134" s="29" t="s">
        <v>258</v>
      </c>
      <c r="C134" s="37" t="s">
        <v>294</v>
      </c>
      <c r="D134" s="30" t="s">
        <v>25</v>
      </c>
      <c r="E134" s="27"/>
      <c r="F134" s="38">
        <v>4755</v>
      </c>
      <c r="G134" s="22">
        <f t="shared" si="2"/>
        <v>0</v>
      </c>
      <c r="H134" s="25"/>
      <c r="I134" s="159">
        <f t="shared" si="3"/>
        <v>0</v>
      </c>
      <c r="J134" s="26"/>
      <c r="K134" s="27"/>
    </row>
    <row r="135" spans="1:11" x14ac:dyDescent="0.25">
      <c r="A135" s="28" t="s">
        <v>243</v>
      </c>
      <c r="B135" s="29" t="s">
        <v>256</v>
      </c>
      <c r="C135" s="37" t="s">
        <v>295</v>
      </c>
      <c r="D135" s="30" t="s">
        <v>25</v>
      </c>
      <c r="E135" s="27">
        <v>10</v>
      </c>
      <c r="F135" s="38">
        <v>4755</v>
      </c>
      <c r="G135" s="22">
        <f t="shared" ref="G135:G201" si="4">E135*F135</f>
        <v>47550</v>
      </c>
      <c r="H135" s="25"/>
      <c r="I135" s="159">
        <f t="shared" si="3"/>
        <v>10</v>
      </c>
      <c r="J135" s="26"/>
      <c r="K135" s="27"/>
    </row>
    <row r="136" spans="1:11" x14ac:dyDescent="0.25">
      <c r="A136" s="28" t="s">
        <v>243</v>
      </c>
      <c r="B136" s="29" t="s">
        <v>296</v>
      </c>
      <c r="C136" s="37" t="s">
        <v>297</v>
      </c>
      <c r="D136" s="30" t="s">
        <v>25</v>
      </c>
      <c r="E136" s="27"/>
      <c r="F136" s="38">
        <v>4755</v>
      </c>
      <c r="G136" s="22">
        <f t="shared" si="4"/>
        <v>0</v>
      </c>
      <c r="H136" s="25"/>
      <c r="I136" s="159">
        <f t="shared" si="3"/>
        <v>0</v>
      </c>
      <c r="J136" s="26"/>
      <c r="K136" s="27"/>
    </row>
    <row r="137" spans="1:11" x14ac:dyDescent="0.25">
      <c r="A137" s="48"/>
      <c r="B137" s="221" t="s">
        <v>298</v>
      </c>
      <c r="C137" s="222"/>
      <c r="D137" s="222"/>
      <c r="E137" s="223"/>
      <c r="F137" s="49"/>
      <c r="G137" s="22">
        <f t="shared" si="4"/>
        <v>0</v>
      </c>
      <c r="H137" s="25"/>
      <c r="I137" s="159">
        <f t="shared" si="3"/>
        <v>0</v>
      </c>
      <c r="J137" s="26"/>
      <c r="K137" s="27"/>
    </row>
    <row r="138" spans="1:11" x14ac:dyDescent="0.25">
      <c r="A138" s="28" t="s">
        <v>243</v>
      </c>
      <c r="B138" s="29" t="s">
        <v>299</v>
      </c>
      <c r="C138" s="37" t="s">
        <v>300</v>
      </c>
      <c r="D138" s="30" t="s">
        <v>25</v>
      </c>
      <c r="E138" s="27">
        <v>4</v>
      </c>
      <c r="F138" s="38">
        <v>3100</v>
      </c>
      <c r="G138" s="22">
        <f t="shared" si="4"/>
        <v>12400</v>
      </c>
      <c r="H138" s="25"/>
      <c r="I138" s="159">
        <f t="shared" si="3"/>
        <v>4</v>
      </c>
      <c r="J138" s="26"/>
      <c r="K138" s="27"/>
    </row>
    <row r="139" spans="1:11" x14ac:dyDescent="0.25">
      <c r="A139" s="28" t="s">
        <v>243</v>
      </c>
      <c r="B139" s="29" t="s">
        <v>301</v>
      </c>
      <c r="C139" s="37" t="s">
        <v>302</v>
      </c>
      <c r="D139" s="30" t="s">
        <v>25</v>
      </c>
      <c r="E139" s="27">
        <v>4</v>
      </c>
      <c r="F139" s="38">
        <v>3100</v>
      </c>
      <c r="G139" s="22">
        <f t="shared" si="4"/>
        <v>12400</v>
      </c>
      <c r="H139" s="25"/>
      <c r="I139" s="159">
        <f t="shared" si="3"/>
        <v>4</v>
      </c>
      <c r="J139" s="26"/>
      <c r="K139" s="27"/>
    </row>
    <row r="140" spans="1:11" x14ac:dyDescent="0.25">
      <c r="A140" s="28" t="s">
        <v>243</v>
      </c>
      <c r="B140" s="29" t="s">
        <v>303</v>
      </c>
      <c r="C140" s="37" t="s">
        <v>304</v>
      </c>
      <c r="D140" s="30" t="s">
        <v>25</v>
      </c>
      <c r="E140" s="27"/>
      <c r="F140" s="38">
        <v>2950</v>
      </c>
      <c r="G140" s="22">
        <f t="shared" si="4"/>
        <v>0</v>
      </c>
      <c r="H140" s="25"/>
      <c r="I140" s="159">
        <f t="shared" si="3"/>
        <v>0</v>
      </c>
      <c r="J140" s="26"/>
      <c r="K140" s="27"/>
    </row>
    <row r="141" spans="1:11" x14ac:dyDescent="0.25">
      <c r="A141" s="28" t="s">
        <v>243</v>
      </c>
      <c r="B141" s="29" t="s">
        <v>305</v>
      </c>
      <c r="C141" s="37" t="s">
        <v>304</v>
      </c>
      <c r="D141" s="30" t="s">
        <v>25</v>
      </c>
      <c r="E141" s="27"/>
      <c r="F141" s="31">
        <v>2893</v>
      </c>
      <c r="G141" s="22">
        <f t="shared" si="4"/>
        <v>0</v>
      </c>
      <c r="H141" s="25"/>
      <c r="I141" s="159">
        <f t="shared" si="3"/>
        <v>0</v>
      </c>
      <c r="J141" s="26"/>
      <c r="K141" s="27"/>
    </row>
    <row r="142" spans="1:11" x14ac:dyDescent="0.25">
      <c r="A142" s="28" t="s">
        <v>243</v>
      </c>
      <c r="B142" s="29" t="s">
        <v>260</v>
      </c>
      <c r="C142" s="37" t="s">
        <v>306</v>
      </c>
      <c r="D142" s="30" t="s">
        <v>25</v>
      </c>
      <c r="E142" s="27"/>
      <c r="F142" s="31">
        <v>2893</v>
      </c>
      <c r="G142" s="22">
        <f t="shared" si="4"/>
        <v>0</v>
      </c>
      <c r="H142" s="25"/>
      <c r="I142" s="159">
        <f t="shared" si="3"/>
        <v>0</v>
      </c>
      <c r="J142" s="26"/>
      <c r="K142" s="27"/>
    </row>
    <row r="143" spans="1:11" x14ac:dyDescent="0.25">
      <c r="A143" s="28" t="s">
        <v>307</v>
      </c>
      <c r="B143" s="29" t="s">
        <v>308</v>
      </c>
      <c r="C143" s="37" t="s">
        <v>309</v>
      </c>
      <c r="D143" s="30" t="s">
        <v>25</v>
      </c>
      <c r="E143" s="27"/>
      <c r="F143" s="31">
        <v>3835</v>
      </c>
      <c r="G143" s="22">
        <f t="shared" si="4"/>
        <v>0</v>
      </c>
      <c r="H143" s="25"/>
      <c r="I143" s="159">
        <f t="shared" ref="I143:I208" si="5">E143-H143</f>
        <v>0</v>
      </c>
      <c r="J143" s="26" t="s">
        <v>249</v>
      </c>
      <c r="K143" s="27"/>
    </row>
    <row r="144" spans="1:11" x14ac:dyDescent="0.25">
      <c r="A144" s="28" t="s">
        <v>307</v>
      </c>
      <c r="B144" s="29" t="s">
        <v>310</v>
      </c>
      <c r="C144" s="37" t="s">
        <v>311</v>
      </c>
      <c r="D144" s="30" t="s">
        <v>25</v>
      </c>
      <c r="E144" s="27">
        <v>6</v>
      </c>
      <c r="F144" s="31">
        <v>2862</v>
      </c>
      <c r="G144" s="22">
        <f t="shared" si="4"/>
        <v>17172</v>
      </c>
      <c r="H144" s="25"/>
      <c r="I144" s="159">
        <f t="shared" si="5"/>
        <v>6</v>
      </c>
      <c r="J144" s="26"/>
      <c r="K144" s="27"/>
    </row>
    <row r="145" spans="1:11" x14ac:dyDescent="0.25">
      <c r="A145" s="28" t="s">
        <v>307</v>
      </c>
      <c r="B145" s="29" t="s">
        <v>312</v>
      </c>
      <c r="C145" s="37" t="s">
        <v>313</v>
      </c>
      <c r="D145" s="30" t="s">
        <v>25</v>
      </c>
      <c r="E145" s="27">
        <v>4</v>
      </c>
      <c r="F145" s="31">
        <v>1420</v>
      </c>
      <c r="G145" s="22">
        <f t="shared" si="4"/>
        <v>5680</v>
      </c>
      <c r="H145" s="25"/>
      <c r="I145" s="159">
        <f t="shared" si="5"/>
        <v>4</v>
      </c>
      <c r="J145" s="26" t="s">
        <v>314</v>
      </c>
      <c r="K145" s="27"/>
    </row>
    <row r="146" spans="1:11" x14ac:dyDescent="0.25">
      <c r="A146" s="28" t="s">
        <v>307</v>
      </c>
      <c r="B146" s="29" t="s">
        <v>315</v>
      </c>
      <c r="C146" s="37" t="s">
        <v>316</v>
      </c>
      <c r="D146" s="30" t="s">
        <v>25</v>
      </c>
      <c r="E146" s="27">
        <v>17</v>
      </c>
      <c r="F146" s="31">
        <v>5307</v>
      </c>
      <c r="G146" s="22">
        <f t="shared" si="4"/>
        <v>90219</v>
      </c>
      <c r="H146" s="25"/>
      <c r="I146" s="159">
        <f t="shared" si="5"/>
        <v>17</v>
      </c>
      <c r="J146" s="26" t="s">
        <v>317</v>
      </c>
      <c r="K146" s="27"/>
    </row>
    <row r="147" spans="1:11" x14ac:dyDescent="0.25">
      <c r="A147" s="28" t="s">
        <v>307</v>
      </c>
      <c r="B147" s="29" t="s">
        <v>318</v>
      </c>
      <c r="C147" s="37" t="s">
        <v>319</v>
      </c>
      <c r="D147" s="30" t="s">
        <v>25</v>
      </c>
      <c r="E147" s="27">
        <v>7</v>
      </c>
      <c r="F147" s="31">
        <v>9085</v>
      </c>
      <c r="G147" s="22">
        <f t="shared" si="4"/>
        <v>63595</v>
      </c>
      <c r="H147" s="25"/>
      <c r="I147" s="159">
        <f t="shared" si="5"/>
        <v>7</v>
      </c>
      <c r="J147" s="26" t="s">
        <v>246</v>
      </c>
      <c r="K147" s="27"/>
    </row>
    <row r="148" spans="1:11" x14ac:dyDescent="0.25">
      <c r="A148" s="28" t="s">
        <v>307</v>
      </c>
      <c r="B148" s="29" t="s">
        <v>320</v>
      </c>
      <c r="C148" s="37" t="s">
        <v>321</v>
      </c>
      <c r="D148" s="30" t="s">
        <v>25</v>
      </c>
      <c r="E148" s="27">
        <v>6</v>
      </c>
      <c r="F148" s="31">
        <v>7716</v>
      </c>
      <c r="G148" s="22">
        <f t="shared" si="4"/>
        <v>46296</v>
      </c>
      <c r="H148" s="25"/>
      <c r="I148" s="159">
        <f t="shared" si="5"/>
        <v>6</v>
      </c>
      <c r="J148" s="26"/>
      <c r="K148" s="27"/>
    </row>
    <row r="149" spans="1:11" x14ac:dyDescent="0.25">
      <c r="A149" s="28" t="s">
        <v>307</v>
      </c>
      <c r="B149" s="29" t="s">
        <v>322</v>
      </c>
      <c r="C149" s="37" t="s">
        <v>323</v>
      </c>
      <c r="D149" s="30" t="s">
        <v>25</v>
      </c>
      <c r="E149" s="27">
        <v>17</v>
      </c>
      <c r="F149" s="31">
        <v>3795</v>
      </c>
      <c r="G149" s="22">
        <f t="shared" si="4"/>
        <v>64515</v>
      </c>
      <c r="H149" s="25"/>
      <c r="I149" s="159">
        <f t="shared" si="5"/>
        <v>17</v>
      </c>
      <c r="J149" s="26"/>
      <c r="K149" s="27"/>
    </row>
    <row r="150" spans="1:11" x14ac:dyDescent="0.25">
      <c r="A150" s="28" t="s">
        <v>307</v>
      </c>
      <c r="B150" s="29" t="s">
        <v>324</v>
      </c>
      <c r="C150" s="37" t="s">
        <v>325</v>
      </c>
      <c r="D150" s="30" t="s">
        <v>17</v>
      </c>
      <c r="E150" s="27">
        <v>3</v>
      </c>
      <c r="F150" s="31">
        <v>1149</v>
      </c>
      <c r="G150" s="22">
        <f t="shared" si="4"/>
        <v>3447</v>
      </c>
      <c r="H150" s="25"/>
      <c r="I150" s="159">
        <f t="shared" si="5"/>
        <v>3</v>
      </c>
      <c r="J150" s="26"/>
      <c r="K150" s="27"/>
    </row>
    <row r="151" spans="1:11" x14ac:dyDescent="0.25">
      <c r="A151" s="28" t="s">
        <v>307</v>
      </c>
      <c r="B151" s="29" t="s">
        <v>326</v>
      </c>
      <c r="C151" s="37" t="s">
        <v>327</v>
      </c>
      <c r="D151" s="30" t="s">
        <v>25</v>
      </c>
      <c r="E151" s="27"/>
      <c r="F151" s="31">
        <v>8000</v>
      </c>
      <c r="G151" s="22">
        <f t="shared" si="4"/>
        <v>0</v>
      </c>
      <c r="H151" s="25"/>
      <c r="I151" s="159">
        <f t="shared" si="5"/>
        <v>0</v>
      </c>
      <c r="J151" s="26"/>
      <c r="K151" s="27"/>
    </row>
    <row r="152" spans="1:11" x14ac:dyDescent="0.25">
      <c r="A152" s="28" t="s">
        <v>307</v>
      </c>
      <c r="B152" s="29" t="s">
        <v>328</v>
      </c>
      <c r="C152" s="37" t="s">
        <v>329</v>
      </c>
      <c r="D152" s="30" t="s">
        <v>25</v>
      </c>
      <c r="E152" s="27">
        <v>49</v>
      </c>
      <c r="F152" s="31">
        <v>3599</v>
      </c>
      <c r="G152" s="22">
        <f t="shared" si="4"/>
        <v>176351</v>
      </c>
      <c r="H152" s="25"/>
      <c r="I152" s="159">
        <f t="shared" si="5"/>
        <v>49</v>
      </c>
      <c r="J152" s="26"/>
      <c r="K152" s="27"/>
    </row>
    <row r="153" spans="1:11" x14ac:dyDescent="0.25">
      <c r="A153" s="28" t="s">
        <v>307</v>
      </c>
      <c r="B153" s="29" t="s">
        <v>330</v>
      </c>
      <c r="C153" s="37" t="s">
        <v>331</v>
      </c>
      <c r="D153" s="30" t="s">
        <v>25</v>
      </c>
      <c r="E153" s="27">
        <v>15</v>
      </c>
      <c r="F153" s="31">
        <v>3297</v>
      </c>
      <c r="G153" s="22">
        <f t="shared" si="4"/>
        <v>49455</v>
      </c>
      <c r="H153" s="25"/>
      <c r="I153" s="159">
        <f t="shared" si="5"/>
        <v>15</v>
      </c>
      <c r="J153" s="26"/>
      <c r="K153" s="27"/>
    </row>
    <row r="154" spans="1:11" x14ac:dyDescent="0.25">
      <c r="A154" s="224" t="s">
        <v>332</v>
      </c>
      <c r="B154" s="224"/>
      <c r="C154" s="224"/>
      <c r="D154" s="224"/>
      <c r="E154" s="225"/>
      <c r="F154" s="50"/>
      <c r="G154" s="22">
        <f t="shared" si="4"/>
        <v>0</v>
      </c>
      <c r="H154" s="25"/>
      <c r="I154" s="159">
        <f t="shared" si="5"/>
        <v>0</v>
      </c>
      <c r="J154" s="26"/>
      <c r="K154" s="27"/>
    </row>
    <row r="155" spans="1:11" x14ac:dyDescent="0.25">
      <c r="A155" s="28" t="s">
        <v>307</v>
      </c>
      <c r="B155" s="29" t="s">
        <v>333</v>
      </c>
      <c r="C155" s="37" t="s">
        <v>334</v>
      </c>
      <c r="D155" s="30" t="s">
        <v>25</v>
      </c>
      <c r="E155" s="27">
        <v>70</v>
      </c>
      <c r="F155" s="31">
        <v>559</v>
      </c>
      <c r="G155" s="22">
        <f t="shared" si="4"/>
        <v>39130</v>
      </c>
      <c r="H155" s="25"/>
      <c r="I155" s="159">
        <f t="shared" si="5"/>
        <v>70</v>
      </c>
      <c r="J155" s="26" t="s">
        <v>335</v>
      </c>
      <c r="K155" s="27"/>
    </row>
    <row r="156" spans="1:11" x14ac:dyDescent="0.25">
      <c r="A156" s="28" t="s">
        <v>307</v>
      </c>
      <c r="B156" s="29" t="s">
        <v>336</v>
      </c>
      <c r="C156" s="37" t="s">
        <v>337</v>
      </c>
      <c r="D156" s="30" t="s">
        <v>25</v>
      </c>
      <c r="E156" s="27">
        <v>10</v>
      </c>
      <c r="F156" s="31">
        <v>3299</v>
      </c>
      <c r="G156" s="22">
        <f t="shared" si="4"/>
        <v>32990</v>
      </c>
      <c r="H156" s="25"/>
      <c r="I156" s="159">
        <f t="shared" si="5"/>
        <v>10</v>
      </c>
      <c r="J156" s="26"/>
      <c r="K156" s="27"/>
    </row>
    <row r="157" spans="1:11" x14ac:dyDescent="0.25">
      <c r="A157" s="28" t="s">
        <v>307</v>
      </c>
      <c r="B157" s="29" t="s">
        <v>338</v>
      </c>
      <c r="C157" s="37" t="s">
        <v>339</v>
      </c>
      <c r="D157" s="30" t="s">
        <v>25</v>
      </c>
      <c r="E157" s="27"/>
      <c r="F157" s="31">
        <v>637.08000000000004</v>
      </c>
      <c r="G157" s="22">
        <f t="shared" si="4"/>
        <v>0</v>
      </c>
      <c r="H157" s="25"/>
      <c r="I157" s="159">
        <f t="shared" si="5"/>
        <v>0</v>
      </c>
      <c r="J157" s="26"/>
      <c r="K157" s="27"/>
    </row>
    <row r="158" spans="1:11" x14ac:dyDescent="0.25">
      <c r="A158" s="28" t="s">
        <v>307</v>
      </c>
      <c r="B158" s="29" t="s">
        <v>340</v>
      </c>
      <c r="C158" s="37" t="s">
        <v>341</v>
      </c>
      <c r="D158" s="30" t="s">
        <v>25</v>
      </c>
      <c r="E158" s="27"/>
      <c r="F158" s="31">
        <v>3299</v>
      </c>
      <c r="G158" s="22">
        <f t="shared" si="4"/>
        <v>0</v>
      </c>
      <c r="H158" s="25"/>
      <c r="I158" s="159">
        <f t="shared" si="5"/>
        <v>0</v>
      </c>
      <c r="J158" s="26"/>
      <c r="K158" s="27"/>
    </row>
    <row r="159" spans="1:11" x14ac:dyDescent="0.25">
      <c r="A159" s="28" t="s">
        <v>307</v>
      </c>
      <c r="B159" s="29" t="s">
        <v>342</v>
      </c>
      <c r="C159" s="37" t="s">
        <v>343</v>
      </c>
      <c r="D159" s="30" t="s">
        <v>25</v>
      </c>
      <c r="E159" s="27">
        <v>32</v>
      </c>
      <c r="F159" s="31">
        <v>3299</v>
      </c>
      <c r="G159" s="22">
        <f t="shared" si="4"/>
        <v>105568</v>
      </c>
      <c r="H159" s="25"/>
      <c r="I159" s="159">
        <f t="shared" si="5"/>
        <v>32</v>
      </c>
      <c r="J159" s="26"/>
      <c r="K159" s="27"/>
    </row>
    <row r="160" spans="1:11" x14ac:dyDescent="0.25">
      <c r="A160" s="28" t="s">
        <v>307</v>
      </c>
      <c r="B160" s="29" t="s">
        <v>344</v>
      </c>
      <c r="C160" s="37" t="s">
        <v>345</v>
      </c>
      <c r="D160" s="30" t="s">
        <v>25</v>
      </c>
      <c r="E160" s="27">
        <v>30</v>
      </c>
      <c r="F160" s="31">
        <v>3299</v>
      </c>
      <c r="G160" s="22">
        <f t="shared" si="4"/>
        <v>98970</v>
      </c>
      <c r="H160" s="25"/>
      <c r="I160" s="159">
        <f t="shared" si="5"/>
        <v>30</v>
      </c>
      <c r="J160" s="26"/>
      <c r="K160" s="27"/>
    </row>
    <row r="161" spans="1:11" x14ac:dyDescent="0.25">
      <c r="A161" s="28" t="s">
        <v>307</v>
      </c>
      <c r="B161" s="29" t="s">
        <v>346</v>
      </c>
      <c r="C161" s="37" t="s">
        <v>347</v>
      </c>
      <c r="D161" s="30" t="s">
        <v>25</v>
      </c>
      <c r="E161" s="27">
        <v>5.5</v>
      </c>
      <c r="F161" s="31">
        <v>2516</v>
      </c>
      <c r="G161" s="22">
        <f t="shared" si="4"/>
        <v>13838</v>
      </c>
      <c r="H161" s="25"/>
      <c r="I161" s="159">
        <f t="shared" si="5"/>
        <v>5.5</v>
      </c>
      <c r="J161" s="26" t="s">
        <v>284</v>
      </c>
      <c r="K161" s="27"/>
    </row>
    <row r="162" spans="1:11" x14ac:dyDescent="0.25">
      <c r="A162" s="28" t="s">
        <v>307</v>
      </c>
      <c r="B162" s="29" t="s">
        <v>348</v>
      </c>
      <c r="C162" s="37" t="s">
        <v>349</v>
      </c>
      <c r="D162" s="30" t="s">
        <v>17</v>
      </c>
      <c r="E162" s="27">
        <v>12</v>
      </c>
      <c r="F162" s="31">
        <v>3435</v>
      </c>
      <c r="G162" s="22">
        <f t="shared" si="4"/>
        <v>41220</v>
      </c>
      <c r="H162" s="25"/>
      <c r="I162" s="159">
        <f t="shared" si="5"/>
        <v>12</v>
      </c>
      <c r="J162" s="26" t="s">
        <v>284</v>
      </c>
      <c r="K162" s="27"/>
    </row>
    <row r="163" spans="1:11" x14ac:dyDescent="0.25">
      <c r="A163" s="28" t="s">
        <v>307</v>
      </c>
      <c r="B163" s="29" t="s">
        <v>350</v>
      </c>
      <c r="C163" s="37" t="s">
        <v>351</v>
      </c>
      <c r="D163" s="30" t="s">
        <v>17</v>
      </c>
      <c r="E163" s="27">
        <v>5</v>
      </c>
      <c r="F163" s="31">
        <v>3435</v>
      </c>
      <c r="G163" s="22">
        <f t="shared" si="4"/>
        <v>17175</v>
      </c>
      <c r="H163" s="25"/>
      <c r="I163" s="159">
        <f t="shared" si="5"/>
        <v>5</v>
      </c>
      <c r="J163" s="26" t="s">
        <v>284</v>
      </c>
      <c r="K163" s="27"/>
    </row>
    <row r="164" spans="1:11" x14ac:dyDescent="0.25">
      <c r="A164" s="28" t="s">
        <v>307</v>
      </c>
      <c r="B164" s="29" t="s">
        <v>352</v>
      </c>
      <c r="C164" s="37" t="s">
        <v>353</v>
      </c>
      <c r="D164" s="30" t="s">
        <v>17</v>
      </c>
      <c r="E164" s="27"/>
      <c r="F164" s="31">
        <v>3435</v>
      </c>
      <c r="G164" s="22">
        <f t="shared" si="4"/>
        <v>0</v>
      </c>
      <c r="H164" s="25"/>
      <c r="I164" s="159">
        <f t="shared" si="5"/>
        <v>0</v>
      </c>
      <c r="J164" s="26" t="s">
        <v>284</v>
      </c>
      <c r="K164" s="27"/>
    </row>
    <row r="165" spans="1:11" x14ac:dyDescent="0.25">
      <c r="A165" s="28" t="s">
        <v>307</v>
      </c>
      <c r="B165" s="29" t="s">
        <v>354</v>
      </c>
      <c r="C165" s="37" t="s">
        <v>355</v>
      </c>
      <c r="D165" s="30" t="s">
        <v>17</v>
      </c>
      <c r="E165" s="27"/>
      <c r="F165" s="31">
        <v>3435</v>
      </c>
      <c r="G165" s="22">
        <f t="shared" si="4"/>
        <v>0</v>
      </c>
      <c r="H165" s="25"/>
      <c r="I165" s="159">
        <f t="shared" si="5"/>
        <v>0</v>
      </c>
      <c r="J165" s="26" t="s">
        <v>284</v>
      </c>
      <c r="K165" s="27"/>
    </row>
    <row r="166" spans="1:11" x14ac:dyDescent="0.25">
      <c r="A166" s="28" t="s">
        <v>307</v>
      </c>
      <c r="B166" s="29" t="s">
        <v>356</v>
      </c>
      <c r="C166" s="37" t="s">
        <v>357</v>
      </c>
      <c r="D166" s="30" t="s">
        <v>17</v>
      </c>
      <c r="E166" s="27"/>
      <c r="F166" s="31">
        <v>3496</v>
      </c>
      <c r="G166" s="22">
        <f t="shared" si="4"/>
        <v>0</v>
      </c>
      <c r="H166" s="25"/>
      <c r="I166" s="159">
        <f t="shared" si="5"/>
        <v>0</v>
      </c>
      <c r="J166" s="26" t="s">
        <v>284</v>
      </c>
      <c r="K166" s="27"/>
    </row>
    <row r="167" spans="1:11" x14ac:dyDescent="0.25">
      <c r="A167" s="51"/>
      <c r="B167" s="226" t="s">
        <v>358</v>
      </c>
      <c r="C167" s="227"/>
      <c r="D167" s="227"/>
      <c r="E167" s="228"/>
      <c r="F167" s="52"/>
      <c r="G167" s="22">
        <f t="shared" si="4"/>
        <v>0</v>
      </c>
      <c r="H167" s="25"/>
      <c r="I167" s="159">
        <f t="shared" si="5"/>
        <v>0</v>
      </c>
      <c r="J167" s="26"/>
      <c r="K167" s="27"/>
    </row>
    <row r="168" spans="1:11" x14ac:dyDescent="0.25">
      <c r="A168" s="28" t="s">
        <v>126</v>
      </c>
      <c r="B168" s="29" t="s">
        <v>359</v>
      </c>
      <c r="C168" s="37" t="s">
        <v>355</v>
      </c>
      <c r="D168" s="30" t="s">
        <v>25</v>
      </c>
      <c r="E168" s="27">
        <v>5</v>
      </c>
      <c r="F168" s="31">
        <v>2612</v>
      </c>
      <c r="G168" s="22">
        <f t="shared" si="4"/>
        <v>13060</v>
      </c>
      <c r="H168" s="25"/>
      <c r="I168" s="159">
        <f t="shared" si="5"/>
        <v>5</v>
      </c>
      <c r="J168" s="26" t="s">
        <v>50</v>
      </c>
      <c r="K168" s="27"/>
    </row>
    <row r="169" spans="1:11" x14ac:dyDescent="0.25">
      <c r="A169" s="28" t="s">
        <v>126</v>
      </c>
      <c r="B169" s="29" t="s">
        <v>360</v>
      </c>
      <c r="C169" s="37" t="s">
        <v>357</v>
      </c>
      <c r="D169" s="30" t="s">
        <v>25</v>
      </c>
      <c r="E169" s="27">
        <v>13</v>
      </c>
      <c r="F169" s="31">
        <v>2612</v>
      </c>
      <c r="G169" s="22">
        <f t="shared" si="4"/>
        <v>33956</v>
      </c>
      <c r="H169" s="25"/>
      <c r="I169" s="159">
        <f t="shared" si="5"/>
        <v>13</v>
      </c>
      <c r="J169" s="26" t="s">
        <v>50</v>
      </c>
      <c r="K169" s="27"/>
    </row>
    <row r="170" spans="1:11" x14ac:dyDescent="0.25">
      <c r="A170" s="28" t="s">
        <v>126</v>
      </c>
      <c r="B170" s="29" t="s">
        <v>361</v>
      </c>
      <c r="C170" s="37" t="s">
        <v>362</v>
      </c>
      <c r="D170" s="30" t="s">
        <v>25</v>
      </c>
      <c r="E170" s="27">
        <v>6</v>
      </c>
      <c r="F170" s="31">
        <v>2796</v>
      </c>
      <c r="G170" s="22">
        <f t="shared" si="4"/>
        <v>16776</v>
      </c>
      <c r="H170" s="25"/>
      <c r="I170" s="159">
        <f t="shared" si="5"/>
        <v>6</v>
      </c>
      <c r="J170" s="26" t="s">
        <v>50</v>
      </c>
      <c r="K170" s="27"/>
    </row>
    <row r="171" spans="1:11" x14ac:dyDescent="0.25">
      <c r="A171" s="28" t="s">
        <v>126</v>
      </c>
      <c r="B171" s="29" t="s">
        <v>363</v>
      </c>
      <c r="C171" s="37" t="s">
        <v>364</v>
      </c>
      <c r="D171" s="30" t="s">
        <v>25</v>
      </c>
      <c r="E171" s="27">
        <v>20</v>
      </c>
      <c r="F171" s="31">
        <v>2686</v>
      </c>
      <c r="G171" s="22">
        <f t="shared" si="4"/>
        <v>53720</v>
      </c>
      <c r="H171" s="25"/>
      <c r="I171" s="159">
        <f t="shared" si="5"/>
        <v>20</v>
      </c>
      <c r="J171" s="26" t="s">
        <v>50</v>
      </c>
      <c r="K171" s="27"/>
    </row>
    <row r="172" spans="1:11" x14ac:dyDescent="0.25">
      <c r="A172" s="53"/>
      <c r="B172" s="209" t="s">
        <v>365</v>
      </c>
      <c r="C172" s="210"/>
      <c r="D172" s="210"/>
      <c r="E172" s="211"/>
      <c r="F172" s="44"/>
      <c r="G172" s="22">
        <f t="shared" si="4"/>
        <v>0</v>
      </c>
      <c r="H172" s="25"/>
      <c r="I172" s="159">
        <f t="shared" si="5"/>
        <v>0</v>
      </c>
      <c r="J172" s="26"/>
      <c r="K172" s="27"/>
    </row>
    <row r="173" spans="1:11" x14ac:dyDescent="0.25">
      <c r="A173" s="28" t="s">
        <v>126</v>
      </c>
      <c r="B173" s="29" t="s">
        <v>359</v>
      </c>
      <c r="C173" s="37" t="s">
        <v>366</v>
      </c>
      <c r="D173" s="30" t="s">
        <v>25</v>
      </c>
      <c r="E173" s="27">
        <v>14</v>
      </c>
      <c r="F173" s="31">
        <v>2796</v>
      </c>
      <c r="G173" s="22">
        <f t="shared" si="4"/>
        <v>39144</v>
      </c>
      <c r="H173" s="25"/>
      <c r="I173" s="159">
        <f t="shared" si="5"/>
        <v>14</v>
      </c>
      <c r="J173" s="26"/>
      <c r="K173" s="27"/>
    </row>
    <row r="174" spans="1:11" x14ac:dyDescent="0.25">
      <c r="A174" s="28" t="s">
        <v>126</v>
      </c>
      <c r="B174" s="29" t="s">
        <v>360</v>
      </c>
      <c r="C174" s="37" t="s">
        <v>367</v>
      </c>
      <c r="D174" s="30" t="s">
        <v>25</v>
      </c>
      <c r="E174" s="27">
        <v>30</v>
      </c>
      <c r="F174" s="31">
        <v>2612</v>
      </c>
      <c r="G174" s="22">
        <f t="shared" si="4"/>
        <v>78360</v>
      </c>
      <c r="H174" s="25"/>
      <c r="I174" s="159">
        <f t="shared" si="5"/>
        <v>30</v>
      </c>
      <c r="J174" s="26"/>
      <c r="K174" s="27"/>
    </row>
    <row r="175" spans="1:11" x14ac:dyDescent="0.25">
      <c r="A175" s="28" t="s">
        <v>126</v>
      </c>
      <c r="B175" s="29" t="s">
        <v>361</v>
      </c>
      <c r="C175" s="37" t="s">
        <v>368</v>
      </c>
      <c r="D175" s="30" t="s">
        <v>25</v>
      </c>
      <c r="E175" s="27">
        <v>5</v>
      </c>
      <c r="F175" s="31">
        <v>2796</v>
      </c>
      <c r="G175" s="22">
        <f t="shared" si="4"/>
        <v>13980</v>
      </c>
      <c r="H175" s="25"/>
      <c r="I175" s="159">
        <f t="shared" si="5"/>
        <v>5</v>
      </c>
      <c r="J175" s="26"/>
      <c r="K175" s="27"/>
    </row>
    <row r="176" spans="1:11" x14ac:dyDescent="0.25">
      <c r="A176" s="28" t="s">
        <v>126</v>
      </c>
      <c r="B176" s="29" t="s">
        <v>363</v>
      </c>
      <c r="C176" s="37" t="s">
        <v>369</v>
      </c>
      <c r="D176" s="30" t="s">
        <v>25</v>
      </c>
      <c r="E176" s="27"/>
      <c r="F176" s="31">
        <v>2686</v>
      </c>
      <c r="G176" s="22">
        <f t="shared" si="4"/>
        <v>0</v>
      </c>
      <c r="H176" s="25"/>
      <c r="I176" s="159">
        <f t="shared" si="5"/>
        <v>0</v>
      </c>
      <c r="J176" s="26"/>
      <c r="K176" s="27"/>
    </row>
    <row r="177" spans="1:11" x14ac:dyDescent="0.25">
      <c r="A177" s="28" t="s">
        <v>126</v>
      </c>
      <c r="B177" s="29" t="s">
        <v>370</v>
      </c>
      <c r="C177" s="37" t="s">
        <v>371</v>
      </c>
      <c r="D177" s="30" t="s">
        <v>25</v>
      </c>
      <c r="E177" s="27">
        <v>21</v>
      </c>
      <c r="F177" s="31">
        <v>2796</v>
      </c>
      <c r="G177" s="22">
        <f t="shared" si="4"/>
        <v>58716</v>
      </c>
      <c r="H177" s="25"/>
      <c r="I177" s="159">
        <f t="shared" si="5"/>
        <v>21</v>
      </c>
      <c r="J177" s="26"/>
      <c r="K177" s="27"/>
    </row>
    <row r="178" spans="1:11" x14ac:dyDescent="0.25">
      <c r="A178" s="54"/>
      <c r="B178" s="229" t="s">
        <v>372</v>
      </c>
      <c r="C178" s="224"/>
      <c r="D178" s="224"/>
      <c r="E178" s="225"/>
      <c r="F178" s="55"/>
      <c r="G178" s="22">
        <f t="shared" si="4"/>
        <v>0</v>
      </c>
      <c r="H178" s="25"/>
      <c r="I178" s="159">
        <f t="shared" si="5"/>
        <v>0</v>
      </c>
      <c r="J178" s="26"/>
      <c r="K178" s="27"/>
    </row>
    <row r="179" spans="1:11" x14ac:dyDescent="0.25">
      <c r="A179" s="28" t="s">
        <v>373</v>
      </c>
      <c r="B179" s="29" t="s">
        <v>374</v>
      </c>
      <c r="C179" s="37" t="s">
        <v>375</v>
      </c>
      <c r="D179" s="30" t="s">
        <v>44</v>
      </c>
      <c r="E179" s="32">
        <v>100</v>
      </c>
      <c r="F179" s="31">
        <v>37.6</v>
      </c>
      <c r="G179" s="22">
        <f t="shared" si="4"/>
        <v>3760</v>
      </c>
      <c r="H179" s="25"/>
      <c r="I179" s="159">
        <f t="shared" si="5"/>
        <v>100</v>
      </c>
      <c r="J179" s="26" t="s">
        <v>376</v>
      </c>
      <c r="K179" s="27"/>
    </row>
    <row r="180" spans="1:11" x14ac:dyDescent="0.25">
      <c r="A180" s="28" t="s">
        <v>373</v>
      </c>
      <c r="B180" s="29" t="s">
        <v>377</v>
      </c>
      <c r="C180" s="37" t="s">
        <v>378</v>
      </c>
      <c r="D180" s="30" t="s">
        <v>44</v>
      </c>
      <c r="E180" s="32"/>
      <c r="F180" s="56"/>
      <c r="G180" s="22">
        <f t="shared" si="4"/>
        <v>0</v>
      </c>
      <c r="H180" s="25"/>
      <c r="I180" s="159">
        <f t="shared" si="5"/>
        <v>0</v>
      </c>
      <c r="J180" s="26" t="s">
        <v>376</v>
      </c>
      <c r="K180" s="27"/>
    </row>
    <row r="181" spans="1:11" x14ac:dyDescent="0.25">
      <c r="A181" s="28" t="s">
        <v>373</v>
      </c>
      <c r="B181" s="29" t="s">
        <v>379</v>
      </c>
      <c r="C181" s="37" t="s">
        <v>380</v>
      </c>
      <c r="D181" s="30" t="s">
        <v>44</v>
      </c>
      <c r="E181" s="32"/>
      <c r="F181" s="31">
        <v>31.92</v>
      </c>
      <c r="G181" s="22">
        <f t="shared" si="4"/>
        <v>0</v>
      </c>
      <c r="H181" s="25"/>
      <c r="I181" s="159">
        <f t="shared" si="5"/>
        <v>0</v>
      </c>
      <c r="J181" s="26" t="s">
        <v>376</v>
      </c>
      <c r="K181" s="27"/>
    </row>
    <row r="182" spans="1:11" x14ac:dyDescent="0.25">
      <c r="A182" s="28" t="s">
        <v>373</v>
      </c>
      <c r="B182" s="29" t="s">
        <v>381</v>
      </c>
      <c r="C182" s="37" t="s">
        <v>382</v>
      </c>
      <c r="D182" s="30" t="s">
        <v>44</v>
      </c>
      <c r="E182" s="32"/>
      <c r="F182" s="56"/>
      <c r="G182" s="22">
        <f t="shared" si="4"/>
        <v>0</v>
      </c>
      <c r="H182" s="25"/>
      <c r="I182" s="159">
        <f t="shared" si="5"/>
        <v>0</v>
      </c>
      <c r="J182" s="26" t="s">
        <v>376</v>
      </c>
      <c r="K182" s="27"/>
    </row>
    <row r="183" spans="1:11" x14ac:dyDescent="0.25">
      <c r="A183" s="28" t="s">
        <v>373</v>
      </c>
      <c r="B183" s="29" t="s">
        <v>383</v>
      </c>
      <c r="C183" s="37" t="s">
        <v>384</v>
      </c>
      <c r="D183" s="30" t="s">
        <v>44</v>
      </c>
      <c r="E183" s="32">
        <v>400</v>
      </c>
      <c r="F183" s="33">
        <v>9.2200501300000006</v>
      </c>
      <c r="G183" s="22">
        <f t="shared" si="4"/>
        <v>3688.0200520000003</v>
      </c>
      <c r="H183" s="25"/>
      <c r="I183" s="159">
        <f t="shared" si="5"/>
        <v>400</v>
      </c>
      <c r="J183" s="26" t="s">
        <v>376</v>
      </c>
      <c r="K183" s="27"/>
    </row>
    <row r="184" spans="1:11" x14ac:dyDescent="0.25">
      <c r="A184" s="28" t="s">
        <v>373</v>
      </c>
      <c r="B184" s="29" t="s">
        <v>385</v>
      </c>
      <c r="C184" s="37" t="s">
        <v>386</v>
      </c>
      <c r="D184" s="30" t="s">
        <v>44</v>
      </c>
      <c r="E184" s="27">
        <v>163</v>
      </c>
      <c r="F184" s="31">
        <v>97.5</v>
      </c>
      <c r="G184" s="22">
        <f t="shared" si="4"/>
        <v>15892.5</v>
      </c>
      <c r="H184" s="25"/>
      <c r="I184" s="159">
        <f t="shared" si="5"/>
        <v>163</v>
      </c>
      <c r="J184" s="26" t="s">
        <v>387</v>
      </c>
      <c r="K184" s="27"/>
    </row>
    <row r="185" spans="1:11" x14ac:dyDescent="0.25">
      <c r="A185" s="28" t="s">
        <v>373</v>
      </c>
      <c r="B185" s="29" t="s">
        <v>388</v>
      </c>
      <c r="C185" s="37" t="s">
        <v>389</v>
      </c>
      <c r="D185" s="30" t="s">
        <v>44</v>
      </c>
      <c r="E185" s="32"/>
      <c r="F185" s="31">
        <v>17.385999999999999</v>
      </c>
      <c r="G185" s="22">
        <f t="shared" si="4"/>
        <v>0</v>
      </c>
      <c r="H185" s="25"/>
      <c r="I185" s="159">
        <f t="shared" si="5"/>
        <v>0</v>
      </c>
      <c r="J185" s="26" t="s">
        <v>376</v>
      </c>
      <c r="K185" s="27"/>
    </row>
    <row r="186" spans="1:11" x14ac:dyDescent="0.25">
      <c r="A186" s="28" t="s">
        <v>373</v>
      </c>
      <c r="B186" s="29" t="s">
        <v>390</v>
      </c>
      <c r="C186" s="37" t="s">
        <v>391</v>
      </c>
      <c r="D186" s="30" t="s">
        <v>44</v>
      </c>
      <c r="E186" s="32"/>
      <c r="F186" s="56"/>
      <c r="G186" s="22">
        <f t="shared" si="4"/>
        <v>0</v>
      </c>
      <c r="H186" s="25"/>
      <c r="I186" s="159">
        <f t="shared" si="5"/>
        <v>0</v>
      </c>
      <c r="J186" s="26" t="s">
        <v>376</v>
      </c>
      <c r="K186" s="27"/>
    </row>
    <row r="187" spans="1:11" x14ac:dyDescent="0.25">
      <c r="A187" s="28" t="s">
        <v>373</v>
      </c>
      <c r="B187" s="29" t="s">
        <v>392</v>
      </c>
      <c r="C187" s="37" t="s">
        <v>393</v>
      </c>
      <c r="D187" s="30" t="s">
        <v>44</v>
      </c>
      <c r="E187" s="27"/>
      <c r="F187" s="31">
        <v>26.3</v>
      </c>
      <c r="G187" s="22">
        <f t="shared" si="4"/>
        <v>0</v>
      </c>
      <c r="H187" s="25"/>
      <c r="I187" s="159">
        <f t="shared" si="5"/>
        <v>0</v>
      </c>
      <c r="J187" s="26" t="s">
        <v>376</v>
      </c>
      <c r="K187" s="27"/>
    </row>
    <row r="188" spans="1:11" x14ac:dyDescent="0.25">
      <c r="A188" s="28" t="s">
        <v>373</v>
      </c>
      <c r="B188" s="29" t="s">
        <v>394</v>
      </c>
      <c r="C188" s="37" t="s">
        <v>395</v>
      </c>
      <c r="D188" s="30" t="s">
        <v>44</v>
      </c>
      <c r="E188" s="57"/>
      <c r="F188" s="58">
        <v>26.62</v>
      </c>
      <c r="G188" s="22">
        <f t="shared" si="4"/>
        <v>0</v>
      </c>
      <c r="H188" s="25"/>
      <c r="I188" s="159">
        <f t="shared" si="5"/>
        <v>0</v>
      </c>
      <c r="J188" s="26" t="s">
        <v>376</v>
      </c>
      <c r="K188" s="27"/>
    </row>
    <row r="189" spans="1:11" x14ac:dyDescent="0.25">
      <c r="A189" s="28" t="s">
        <v>373</v>
      </c>
      <c r="B189" s="29" t="s">
        <v>396</v>
      </c>
      <c r="C189" s="37" t="s">
        <v>397</v>
      </c>
      <c r="D189" s="30" t="s">
        <v>44</v>
      </c>
      <c r="E189" s="59">
        <v>200</v>
      </c>
      <c r="F189" s="58">
        <v>21.736000000000001</v>
      </c>
      <c r="G189" s="22">
        <f t="shared" si="4"/>
        <v>4347.2</v>
      </c>
      <c r="H189" s="25"/>
      <c r="I189" s="159">
        <f t="shared" si="5"/>
        <v>200</v>
      </c>
      <c r="J189" s="26" t="s">
        <v>398</v>
      </c>
      <c r="K189" s="27"/>
    </row>
    <row r="190" spans="1:11" x14ac:dyDescent="0.25">
      <c r="A190" s="28" t="s">
        <v>373</v>
      </c>
      <c r="B190" s="29" t="s">
        <v>399</v>
      </c>
      <c r="C190" s="37" t="s">
        <v>400</v>
      </c>
      <c r="D190" s="30" t="s">
        <v>44</v>
      </c>
      <c r="E190" s="32"/>
      <c r="F190" s="56"/>
      <c r="G190" s="22">
        <f t="shared" si="4"/>
        <v>0</v>
      </c>
      <c r="H190" s="25"/>
      <c r="I190" s="159">
        <f t="shared" si="5"/>
        <v>0</v>
      </c>
      <c r="J190" s="26" t="s">
        <v>376</v>
      </c>
      <c r="K190" s="27"/>
    </row>
    <row r="191" spans="1:11" x14ac:dyDescent="0.25">
      <c r="A191" s="28" t="s">
        <v>373</v>
      </c>
      <c r="B191" s="29" t="s">
        <v>401</v>
      </c>
      <c r="C191" s="37" t="s">
        <v>402</v>
      </c>
      <c r="D191" s="30" t="s">
        <v>44</v>
      </c>
      <c r="E191" s="32">
        <v>60</v>
      </c>
      <c r="F191" s="31">
        <v>15.946</v>
      </c>
      <c r="G191" s="22">
        <f t="shared" si="4"/>
        <v>956.76</v>
      </c>
      <c r="H191" s="25"/>
      <c r="I191" s="159">
        <f t="shared" si="5"/>
        <v>60</v>
      </c>
      <c r="J191" s="26" t="s">
        <v>403</v>
      </c>
      <c r="K191" s="27"/>
    </row>
    <row r="192" spans="1:11" x14ac:dyDescent="0.25">
      <c r="A192" s="28" t="s">
        <v>373</v>
      </c>
      <c r="B192" s="29" t="s">
        <v>404</v>
      </c>
      <c r="C192" s="37" t="s">
        <v>405</v>
      </c>
      <c r="D192" s="30" t="s">
        <v>44</v>
      </c>
      <c r="E192" s="32"/>
      <c r="F192" s="56"/>
      <c r="G192" s="22">
        <f t="shared" si="4"/>
        <v>0</v>
      </c>
      <c r="H192" s="25"/>
      <c r="I192" s="159">
        <f t="shared" si="5"/>
        <v>0</v>
      </c>
      <c r="J192" s="26" t="s">
        <v>403</v>
      </c>
      <c r="K192" s="27"/>
    </row>
    <row r="193" spans="1:11" x14ac:dyDescent="0.25">
      <c r="A193" s="28" t="s">
        <v>373</v>
      </c>
      <c r="B193" s="29" t="s">
        <v>406</v>
      </c>
      <c r="C193" s="37" t="s">
        <v>407</v>
      </c>
      <c r="D193" s="30" t="s">
        <v>44</v>
      </c>
      <c r="E193" s="32">
        <v>3600</v>
      </c>
      <c r="F193" s="31">
        <v>2.359</v>
      </c>
      <c r="G193" s="22">
        <f t="shared" si="4"/>
        <v>8492.4</v>
      </c>
      <c r="H193" s="25"/>
      <c r="I193" s="159">
        <f t="shared" si="5"/>
        <v>3600</v>
      </c>
      <c r="J193" s="26" t="s">
        <v>408</v>
      </c>
      <c r="K193" s="27"/>
    </row>
    <row r="194" spans="1:11" x14ac:dyDescent="0.25">
      <c r="A194" s="28" t="s">
        <v>373</v>
      </c>
      <c r="B194" s="29" t="s">
        <v>409</v>
      </c>
      <c r="C194" s="37" t="s">
        <v>410</v>
      </c>
      <c r="D194" s="30" t="s">
        <v>44</v>
      </c>
      <c r="E194" s="32"/>
      <c r="F194" s="31">
        <v>7.2</v>
      </c>
      <c r="G194" s="22">
        <f t="shared" si="4"/>
        <v>0</v>
      </c>
      <c r="H194" s="25"/>
      <c r="I194" s="159">
        <f t="shared" si="5"/>
        <v>0</v>
      </c>
      <c r="J194" s="26"/>
      <c r="K194" s="27"/>
    </row>
    <row r="195" spans="1:11" x14ac:dyDescent="0.25">
      <c r="A195" s="28" t="s">
        <v>411</v>
      </c>
      <c r="B195" s="60" t="s">
        <v>412</v>
      </c>
      <c r="C195" s="61" t="s">
        <v>413</v>
      </c>
      <c r="D195" s="30" t="s">
        <v>25</v>
      </c>
      <c r="E195" s="27">
        <v>205.90600000000001</v>
      </c>
      <c r="F195" s="193">
        <v>3952.8627450980393</v>
      </c>
      <c r="G195" s="22">
        <f t="shared" si="4"/>
        <v>813918.15639215696</v>
      </c>
      <c r="H195" s="25"/>
      <c r="I195" s="159">
        <f t="shared" si="5"/>
        <v>205.90600000000001</v>
      </c>
      <c r="J195" s="26"/>
      <c r="K195" s="27"/>
    </row>
    <row r="196" spans="1:11" x14ac:dyDescent="0.25">
      <c r="A196" s="28" t="s">
        <v>411</v>
      </c>
      <c r="B196" s="29" t="s">
        <v>414</v>
      </c>
      <c r="C196" s="37" t="s">
        <v>415</v>
      </c>
      <c r="D196" s="30" t="s">
        <v>25</v>
      </c>
      <c r="E196" s="27">
        <v>20.82</v>
      </c>
      <c r="F196" s="31">
        <v>3700</v>
      </c>
      <c r="G196" s="22">
        <f t="shared" si="4"/>
        <v>77034</v>
      </c>
      <c r="H196" s="25"/>
      <c r="I196" s="159">
        <f t="shared" si="5"/>
        <v>20.82</v>
      </c>
      <c r="J196" s="26"/>
      <c r="K196" s="27"/>
    </row>
    <row r="197" spans="1:11" x14ac:dyDescent="0.25">
      <c r="A197" s="28" t="s">
        <v>411</v>
      </c>
      <c r="B197" s="29" t="s">
        <v>416</v>
      </c>
      <c r="C197" s="37" t="s">
        <v>417</v>
      </c>
      <c r="D197" s="30" t="s">
        <v>44</v>
      </c>
      <c r="E197" s="32">
        <v>963</v>
      </c>
      <c r="F197" s="31">
        <v>336.96</v>
      </c>
      <c r="G197" s="22">
        <f t="shared" si="4"/>
        <v>324492.48</v>
      </c>
      <c r="H197" s="25"/>
      <c r="I197" s="159">
        <f t="shared" si="5"/>
        <v>963</v>
      </c>
      <c r="J197" s="26" t="s">
        <v>418</v>
      </c>
      <c r="K197" s="27"/>
    </row>
    <row r="198" spans="1:11" x14ac:dyDescent="0.25">
      <c r="A198" s="28" t="s">
        <v>411</v>
      </c>
      <c r="B198" s="29" t="s">
        <v>419</v>
      </c>
      <c r="C198" s="37" t="s">
        <v>420</v>
      </c>
      <c r="D198" s="30" t="s">
        <v>25</v>
      </c>
      <c r="E198" s="27">
        <v>155.13999999999999</v>
      </c>
      <c r="F198" s="38">
        <v>3690.0137425561152</v>
      </c>
      <c r="G198" s="22">
        <f t="shared" si="4"/>
        <v>572468.73202015564</v>
      </c>
      <c r="H198" s="25"/>
      <c r="I198" s="159">
        <f t="shared" si="5"/>
        <v>155.13999999999999</v>
      </c>
      <c r="J198" s="26"/>
      <c r="K198" s="27"/>
    </row>
    <row r="199" spans="1:11" x14ac:dyDescent="0.25">
      <c r="A199" s="28" t="s">
        <v>421</v>
      </c>
      <c r="B199" s="62" t="s">
        <v>422</v>
      </c>
      <c r="C199" s="63" t="s">
        <v>423</v>
      </c>
      <c r="D199" s="30" t="s">
        <v>25</v>
      </c>
      <c r="E199" s="27"/>
      <c r="F199" s="56"/>
      <c r="G199" s="22">
        <f t="shared" si="4"/>
        <v>0</v>
      </c>
      <c r="H199" s="25"/>
      <c r="I199" s="159">
        <f t="shared" si="5"/>
        <v>0</v>
      </c>
      <c r="J199" s="26"/>
      <c r="K199" s="27"/>
    </row>
    <row r="200" spans="1:11" x14ac:dyDescent="0.25">
      <c r="A200" s="28" t="s">
        <v>424</v>
      </c>
      <c r="B200" s="29" t="s">
        <v>425</v>
      </c>
      <c r="C200" s="37" t="s">
        <v>426</v>
      </c>
      <c r="D200" s="30" t="s">
        <v>25</v>
      </c>
      <c r="E200" s="27">
        <v>230</v>
      </c>
      <c r="F200" s="38">
        <v>3400</v>
      </c>
      <c r="G200" s="22">
        <f t="shared" si="4"/>
        <v>782000</v>
      </c>
      <c r="H200" s="25"/>
      <c r="I200" s="159">
        <f t="shared" si="5"/>
        <v>230</v>
      </c>
      <c r="J200" s="26"/>
      <c r="K200" s="27"/>
    </row>
    <row r="201" spans="1:11" x14ac:dyDescent="0.25">
      <c r="A201" s="28" t="s">
        <v>424</v>
      </c>
      <c r="B201" s="29" t="s">
        <v>427</v>
      </c>
      <c r="C201" s="37" t="s">
        <v>428</v>
      </c>
      <c r="D201" s="30" t="s">
        <v>25</v>
      </c>
      <c r="E201" s="64">
        <v>77.53</v>
      </c>
      <c r="F201" s="38">
        <v>2256.0019538405177</v>
      </c>
      <c r="G201" s="22">
        <f t="shared" si="4"/>
        <v>174907.83148125533</v>
      </c>
      <c r="H201" s="25"/>
      <c r="I201" s="159">
        <f t="shared" si="5"/>
        <v>77.53</v>
      </c>
      <c r="J201" s="26"/>
      <c r="K201" s="27"/>
    </row>
    <row r="202" spans="1:11" x14ac:dyDescent="0.25">
      <c r="A202" s="28" t="s">
        <v>424</v>
      </c>
      <c r="B202" s="29" t="s">
        <v>429</v>
      </c>
      <c r="C202" s="37" t="s">
        <v>430</v>
      </c>
      <c r="D202" s="30" t="s">
        <v>25</v>
      </c>
      <c r="E202" s="27"/>
      <c r="F202" s="56"/>
      <c r="G202" s="22">
        <f t="shared" ref="G202:G265" si="6">E202*F202</f>
        <v>0</v>
      </c>
      <c r="H202" s="25"/>
      <c r="I202" s="159">
        <f t="shared" si="5"/>
        <v>0</v>
      </c>
      <c r="J202" s="26"/>
      <c r="K202" s="27"/>
    </row>
    <row r="203" spans="1:11" x14ac:dyDescent="0.25">
      <c r="A203" s="28" t="s">
        <v>424</v>
      </c>
      <c r="B203" s="29" t="s">
        <v>431</v>
      </c>
      <c r="C203" s="37" t="s">
        <v>432</v>
      </c>
      <c r="D203" s="30" t="s">
        <v>25</v>
      </c>
      <c r="E203" s="64">
        <v>200</v>
      </c>
      <c r="F203" s="193">
        <v>2197.5</v>
      </c>
      <c r="G203" s="22">
        <f t="shared" si="6"/>
        <v>439500</v>
      </c>
      <c r="H203" s="25"/>
      <c r="I203" s="159">
        <f t="shared" si="5"/>
        <v>200</v>
      </c>
      <c r="J203" s="26"/>
      <c r="K203" s="27"/>
    </row>
    <row r="204" spans="1:11" x14ac:dyDescent="0.25">
      <c r="A204" s="28" t="s">
        <v>433</v>
      </c>
      <c r="B204" s="167" t="s">
        <v>434</v>
      </c>
      <c r="C204" s="168" t="s">
        <v>435</v>
      </c>
      <c r="D204" s="30" t="s">
        <v>25</v>
      </c>
      <c r="E204" s="27">
        <v>114</v>
      </c>
      <c r="F204" s="38">
        <v>4290</v>
      </c>
      <c r="G204" s="22">
        <f t="shared" si="6"/>
        <v>489060</v>
      </c>
      <c r="H204" s="25"/>
      <c r="I204" s="159">
        <f t="shared" si="5"/>
        <v>114</v>
      </c>
      <c r="J204" s="26"/>
      <c r="K204" s="27"/>
    </row>
    <row r="205" spans="1:11" x14ac:dyDescent="0.25">
      <c r="A205" s="28" t="s">
        <v>433</v>
      </c>
      <c r="B205" s="29" t="s">
        <v>436</v>
      </c>
      <c r="C205" s="37" t="s">
        <v>437</v>
      </c>
      <c r="D205" s="30" t="s">
        <v>44</v>
      </c>
      <c r="E205" s="32">
        <v>341</v>
      </c>
      <c r="F205" s="31">
        <v>639.6</v>
      </c>
      <c r="G205" s="22">
        <f t="shared" si="6"/>
        <v>218103.6</v>
      </c>
      <c r="H205" s="25"/>
      <c r="I205" s="159">
        <f t="shared" si="5"/>
        <v>341</v>
      </c>
      <c r="J205" s="26" t="s">
        <v>418</v>
      </c>
      <c r="K205" s="27"/>
    </row>
    <row r="206" spans="1:11" x14ac:dyDescent="0.25">
      <c r="A206" s="28" t="s">
        <v>433</v>
      </c>
      <c r="B206" s="29" t="s">
        <v>1193</v>
      </c>
      <c r="C206" s="37" t="s">
        <v>438</v>
      </c>
      <c r="D206" s="30" t="s">
        <v>25</v>
      </c>
      <c r="E206" s="27">
        <v>62.2</v>
      </c>
      <c r="F206" s="193">
        <v>6877.3010510510512</v>
      </c>
      <c r="G206" s="22">
        <f t="shared" si="6"/>
        <v>427768.12537537538</v>
      </c>
      <c r="H206" s="25"/>
      <c r="I206" s="159">
        <f t="shared" si="5"/>
        <v>62.2</v>
      </c>
      <c r="J206" s="26"/>
      <c r="K206" s="27"/>
    </row>
    <row r="207" spans="1:11" x14ac:dyDescent="0.25">
      <c r="A207" s="28" t="s">
        <v>433</v>
      </c>
      <c r="B207" s="29" t="s">
        <v>439</v>
      </c>
      <c r="C207" s="37" t="s">
        <v>440</v>
      </c>
      <c r="D207" s="30" t="s">
        <v>25</v>
      </c>
      <c r="E207" s="27">
        <v>17.3</v>
      </c>
      <c r="F207" s="31">
        <v>3990</v>
      </c>
      <c r="G207" s="22">
        <f t="shared" si="6"/>
        <v>69027</v>
      </c>
      <c r="H207" s="25"/>
      <c r="I207" s="159">
        <f t="shared" si="5"/>
        <v>17.3</v>
      </c>
      <c r="J207" s="26"/>
      <c r="K207" s="27"/>
    </row>
    <row r="208" spans="1:11" x14ac:dyDescent="0.25">
      <c r="A208" s="28" t="s">
        <v>433</v>
      </c>
      <c r="B208" s="29" t="s">
        <v>441</v>
      </c>
      <c r="C208" s="37" t="s">
        <v>442</v>
      </c>
      <c r="D208" s="30" t="s">
        <v>25</v>
      </c>
      <c r="E208" s="27"/>
      <c r="F208" s="31">
        <v>6490</v>
      </c>
      <c r="G208" s="22">
        <f t="shared" si="6"/>
        <v>0</v>
      </c>
      <c r="H208" s="25"/>
      <c r="I208" s="159">
        <f t="shared" si="5"/>
        <v>0</v>
      </c>
      <c r="J208" s="26"/>
      <c r="K208" s="27"/>
    </row>
    <row r="209" spans="1:11" x14ac:dyDescent="0.25">
      <c r="A209" s="28" t="s">
        <v>433</v>
      </c>
      <c r="B209" s="29" t="s">
        <v>443</v>
      </c>
      <c r="C209" s="37" t="s">
        <v>444</v>
      </c>
      <c r="D209" s="30" t="s">
        <v>25</v>
      </c>
      <c r="E209" s="27">
        <v>33.18</v>
      </c>
      <c r="F209" s="38">
        <v>3270.0145985401459</v>
      </c>
      <c r="G209" s="22">
        <f t="shared" si="6"/>
        <v>108499.08437956205</v>
      </c>
      <c r="H209" s="25"/>
      <c r="I209" s="159">
        <f t="shared" ref="I209:I276" si="7">E209-H209</f>
        <v>33.18</v>
      </c>
      <c r="J209" s="26"/>
      <c r="K209" s="27"/>
    </row>
    <row r="210" spans="1:11" x14ac:dyDescent="0.25">
      <c r="A210" s="28" t="s">
        <v>433</v>
      </c>
      <c r="B210" s="29" t="s">
        <v>445</v>
      </c>
      <c r="C210" s="37" t="s">
        <v>446</v>
      </c>
      <c r="D210" s="30" t="s">
        <v>25</v>
      </c>
      <c r="E210" s="27"/>
      <c r="F210" s="39">
        <v>8590</v>
      </c>
      <c r="G210" s="22">
        <f t="shared" si="6"/>
        <v>0</v>
      </c>
      <c r="H210" s="25"/>
      <c r="I210" s="159">
        <f t="shared" si="7"/>
        <v>0</v>
      </c>
      <c r="J210" s="26"/>
      <c r="K210" s="27"/>
    </row>
    <row r="211" spans="1:11" x14ac:dyDescent="0.25">
      <c r="A211" s="28" t="s">
        <v>433</v>
      </c>
      <c r="B211" s="29" t="s">
        <v>447</v>
      </c>
      <c r="C211" s="37" t="s">
        <v>448</v>
      </c>
      <c r="D211" s="30" t="s">
        <v>25</v>
      </c>
      <c r="E211" s="27"/>
      <c r="F211" s="56"/>
      <c r="G211" s="22">
        <f t="shared" si="6"/>
        <v>0</v>
      </c>
      <c r="H211" s="25"/>
      <c r="I211" s="159">
        <f t="shared" si="7"/>
        <v>0</v>
      </c>
      <c r="J211" s="26"/>
      <c r="K211" s="27"/>
    </row>
    <row r="212" spans="1:11" x14ac:dyDescent="0.25">
      <c r="A212" s="28" t="s">
        <v>433</v>
      </c>
      <c r="B212" s="29" t="s">
        <v>449</v>
      </c>
      <c r="C212" s="37" t="s">
        <v>450</v>
      </c>
      <c r="D212" s="30" t="s">
        <v>25</v>
      </c>
      <c r="E212" s="27"/>
      <c r="F212" s="56"/>
      <c r="G212" s="22">
        <f t="shared" si="6"/>
        <v>0</v>
      </c>
      <c r="H212" s="25"/>
      <c r="I212" s="159">
        <f t="shared" si="7"/>
        <v>0</v>
      </c>
      <c r="J212" s="26"/>
      <c r="K212" s="27"/>
    </row>
    <row r="213" spans="1:11" x14ac:dyDescent="0.25">
      <c r="A213" s="28" t="s">
        <v>433</v>
      </c>
      <c r="B213" s="29" t="s">
        <v>451</v>
      </c>
      <c r="C213" s="37" t="s">
        <v>452</v>
      </c>
      <c r="D213" s="30" t="s">
        <v>25</v>
      </c>
      <c r="E213" s="27"/>
      <c r="F213" s="56"/>
      <c r="G213" s="22">
        <f t="shared" si="6"/>
        <v>0</v>
      </c>
      <c r="H213" s="25"/>
      <c r="I213" s="159">
        <f t="shared" si="7"/>
        <v>0</v>
      </c>
      <c r="J213" s="26"/>
      <c r="K213" s="27"/>
    </row>
    <row r="214" spans="1:11" x14ac:dyDescent="0.25">
      <c r="A214" s="28" t="s">
        <v>433</v>
      </c>
      <c r="B214" s="29" t="s">
        <v>453</v>
      </c>
      <c r="C214" s="37" t="s">
        <v>454</v>
      </c>
      <c r="D214" s="30" t="s">
        <v>25</v>
      </c>
      <c r="E214" s="27"/>
      <c r="F214" s="39">
        <v>6990</v>
      </c>
      <c r="G214" s="22">
        <f t="shared" si="6"/>
        <v>0</v>
      </c>
      <c r="H214" s="25"/>
      <c r="I214" s="159">
        <f t="shared" si="7"/>
        <v>0</v>
      </c>
      <c r="J214" s="26"/>
      <c r="K214" s="27"/>
    </row>
    <row r="215" spans="1:11" x14ac:dyDescent="0.25">
      <c r="A215" s="28" t="s">
        <v>455</v>
      </c>
      <c r="B215" s="169" t="s">
        <v>456</v>
      </c>
      <c r="C215" s="170" t="s">
        <v>457</v>
      </c>
      <c r="D215" s="30" t="s">
        <v>25</v>
      </c>
      <c r="E215" s="27"/>
      <c r="F215" s="31">
        <v>3443</v>
      </c>
      <c r="G215" s="22">
        <f t="shared" si="6"/>
        <v>0</v>
      </c>
      <c r="H215" s="25"/>
      <c r="I215" s="159">
        <f t="shared" si="7"/>
        <v>0</v>
      </c>
      <c r="J215" s="26"/>
      <c r="K215" s="27"/>
    </row>
    <row r="216" spans="1:11" x14ac:dyDescent="0.25">
      <c r="A216" s="28" t="s">
        <v>455</v>
      </c>
      <c r="B216" s="29" t="s">
        <v>458</v>
      </c>
      <c r="C216" s="37" t="s">
        <v>459</v>
      </c>
      <c r="D216" s="30" t="s">
        <v>25</v>
      </c>
      <c r="E216" s="27"/>
      <c r="F216" s="31">
        <v>5164</v>
      </c>
      <c r="G216" s="22">
        <f t="shared" si="6"/>
        <v>0</v>
      </c>
      <c r="H216" s="25"/>
      <c r="I216" s="159">
        <f t="shared" si="7"/>
        <v>0</v>
      </c>
      <c r="J216" s="26"/>
      <c r="K216" s="27"/>
    </row>
    <row r="217" spans="1:11" x14ac:dyDescent="0.25">
      <c r="A217" s="28" t="s">
        <v>455</v>
      </c>
      <c r="B217" s="29" t="s">
        <v>460</v>
      </c>
      <c r="C217" s="37" t="s">
        <v>461</v>
      </c>
      <c r="D217" s="30" t="s">
        <v>25</v>
      </c>
      <c r="E217" s="27">
        <v>32.76</v>
      </c>
      <c r="F217" s="31">
        <v>4950</v>
      </c>
      <c r="G217" s="22">
        <f t="shared" si="6"/>
        <v>162162</v>
      </c>
      <c r="H217" s="25"/>
      <c r="I217" s="159">
        <f t="shared" si="7"/>
        <v>32.76</v>
      </c>
      <c r="J217" s="26"/>
      <c r="K217" s="27"/>
    </row>
    <row r="218" spans="1:11" x14ac:dyDescent="0.25">
      <c r="A218" s="28" t="s">
        <v>455</v>
      </c>
      <c r="B218" s="29" t="s">
        <v>462</v>
      </c>
      <c r="C218" s="37" t="s">
        <v>463</v>
      </c>
      <c r="D218" s="30" t="s">
        <v>25</v>
      </c>
      <c r="E218" s="27"/>
      <c r="F218" s="56"/>
      <c r="G218" s="22">
        <f t="shared" si="6"/>
        <v>0</v>
      </c>
      <c r="H218" s="25"/>
      <c r="I218" s="159">
        <f t="shared" si="7"/>
        <v>0</v>
      </c>
      <c r="J218" s="26"/>
      <c r="K218" s="27"/>
    </row>
    <row r="219" spans="1:11" x14ac:dyDescent="0.25">
      <c r="A219" s="28" t="s">
        <v>455</v>
      </c>
      <c r="B219" s="29" t="s">
        <v>464</v>
      </c>
      <c r="C219" s="37" t="s">
        <v>465</v>
      </c>
      <c r="D219" s="30" t="s">
        <v>25</v>
      </c>
      <c r="E219" s="27"/>
      <c r="F219" s="31">
        <v>4950</v>
      </c>
      <c r="G219" s="22">
        <f t="shared" si="6"/>
        <v>0</v>
      </c>
      <c r="H219" s="25"/>
      <c r="I219" s="159">
        <f t="shared" si="7"/>
        <v>0</v>
      </c>
      <c r="J219" s="26"/>
      <c r="K219" s="27"/>
    </row>
    <row r="220" spans="1:11" x14ac:dyDescent="0.25">
      <c r="A220" s="28" t="s">
        <v>455</v>
      </c>
      <c r="B220" s="29" t="s">
        <v>466</v>
      </c>
      <c r="C220" s="37" t="s">
        <v>467</v>
      </c>
      <c r="D220" s="30" t="s">
        <v>25</v>
      </c>
      <c r="E220" s="27">
        <v>17.7</v>
      </c>
      <c r="F220" s="31">
        <v>3099</v>
      </c>
      <c r="G220" s="22">
        <f t="shared" si="6"/>
        <v>54852.299999999996</v>
      </c>
      <c r="H220" s="25"/>
      <c r="I220" s="159">
        <f t="shared" si="7"/>
        <v>17.7</v>
      </c>
      <c r="J220" s="26"/>
      <c r="K220" s="27"/>
    </row>
    <row r="221" spans="1:11" x14ac:dyDescent="0.25">
      <c r="A221" s="28" t="s">
        <v>455</v>
      </c>
      <c r="B221" s="29" t="s">
        <v>468</v>
      </c>
      <c r="C221" s="37" t="s">
        <v>469</v>
      </c>
      <c r="D221" s="30" t="s">
        <v>25</v>
      </c>
      <c r="E221" s="27">
        <v>9</v>
      </c>
      <c r="F221" s="31">
        <v>8026.04</v>
      </c>
      <c r="G221" s="22">
        <f t="shared" si="6"/>
        <v>72234.36</v>
      </c>
      <c r="H221" s="25"/>
      <c r="I221" s="159">
        <f t="shared" si="7"/>
        <v>9</v>
      </c>
      <c r="J221" s="26"/>
      <c r="K221" s="27"/>
    </row>
    <row r="222" spans="1:11" x14ac:dyDescent="0.25">
      <c r="A222" s="28" t="s">
        <v>470</v>
      </c>
      <c r="B222" s="65" t="s">
        <v>471</v>
      </c>
      <c r="C222" s="66" t="s">
        <v>472</v>
      </c>
      <c r="D222" s="30" t="s">
        <v>25</v>
      </c>
      <c r="E222" s="27"/>
      <c r="F222" s="56"/>
      <c r="G222" s="22">
        <f t="shared" si="6"/>
        <v>0</v>
      </c>
      <c r="H222" s="25"/>
      <c r="I222" s="159">
        <f t="shared" si="7"/>
        <v>0</v>
      </c>
      <c r="J222" s="26" t="s">
        <v>473</v>
      </c>
      <c r="K222" s="27"/>
    </row>
    <row r="223" spans="1:11" x14ac:dyDescent="0.25">
      <c r="A223" s="28" t="s">
        <v>470</v>
      </c>
      <c r="B223" s="29" t="s">
        <v>474</v>
      </c>
      <c r="C223" s="37" t="s">
        <v>475</v>
      </c>
      <c r="D223" s="30" t="s">
        <v>25</v>
      </c>
      <c r="E223" s="27">
        <v>8</v>
      </c>
      <c r="F223" s="31">
        <v>2000</v>
      </c>
      <c r="G223" s="22">
        <f t="shared" si="6"/>
        <v>16000</v>
      </c>
      <c r="H223" s="25"/>
      <c r="I223" s="159">
        <f t="shared" si="7"/>
        <v>8</v>
      </c>
      <c r="J223" s="26" t="s">
        <v>473</v>
      </c>
      <c r="K223" s="27"/>
    </row>
    <row r="224" spans="1:11" x14ac:dyDescent="0.25">
      <c r="A224" s="28" t="s">
        <v>470</v>
      </c>
      <c r="B224" s="29" t="s">
        <v>476</v>
      </c>
      <c r="C224" s="37" t="s">
        <v>477</v>
      </c>
      <c r="D224" s="30" t="s">
        <v>25</v>
      </c>
      <c r="E224" s="27"/>
      <c r="F224" s="31">
        <v>2000</v>
      </c>
      <c r="G224" s="22">
        <f t="shared" si="6"/>
        <v>0</v>
      </c>
      <c r="H224" s="25"/>
      <c r="I224" s="159">
        <f t="shared" si="7"/>
        <v>0</v>
      </c>
      <c r="J224" s="26" t="s">
        <v>473</v>
      </c>
      <c r="K224" s="27"/>
    </row>
    <row r="225" spans="1:11" x14ac:dyDescent="0.25">
      <c r="A225" s="28" t="s">
        <v>470</v>
      </c>
      <c r="B225" s="29" t="s">
        <v>478</v>
      </c>
      <c r="C225" s="37" t="s">
        <v>479</v>
      </c>
      <c r="D225" s="30" t="s">
        <v>25</v>
      </c>
      <c r="E225" s="27"/>
      <c r="F225" s="31">
        <v>2000</v>
      </c>
      <c r="G225" s="22">
        <f t="shared" si="6"/>
        <v>0</v>
      </c>
      <c r="H225" s="25"/>
      <c r="I225" s="159">
        <f t="shared" si="7"/>
        <v>0</v>
      </c>
      <c r="J225" s="26" t="s">
        <v>473</v>
      </c>
      <c r="K225" s="27"/>
    </row>
    <row r="226" spans="1:11" x14ac:dyDescent="0.25">
      <c r="A226" s="28" t="s">
        <v>470</v>
      </c>
      <c r="B226" s="29" t="s">
        <v>480</v>
      </c>
      <c r="C226" s="37" t="s">
        <v>481</v>
      </c>
      <c r="D226" s="30" t="s">
        <v>25</v>
      </c>
      <c r="E226" s="27">
        <v>8</v>
      </c>
      <c r="F226" s="31">
        <v>2125</v>
      </c>
      <c r="G226" s="22">
        <f t="shared" si="6"/>
        <v>17000</v>
      </c>
      <c r="H226" s="25"/>
      <c r="I226" s="159">
        <f t="shared" si="7"/>
        <v>8</v>
      </c>
      <c r="J226" s="26" t="s">
        <v>473</v>
      </c>
      <c r="K226" s="27"/>
    </row>
    <row r="227" spans="1:11" x14ac:dyDescent="0.25">
      <c r="A227" s="28" t="s">
        <v>470</v>
      </c>
      <c r="B227" s="29" t="s">
        <v>482</v>
      </c>
      <c r="C227" s="37" t="s">
        <v>483</v>
      </c>
      <c r="D227" s="30" t="s">
        <v>25</v>
      </c>
      <c r="E227" s="27"/>
      <c r="F227" s="31">
        <v>3031</v>
      </c>
      <c r="G227" s="22">
        <f t="shared" si="6"/>
        <v>0</v>
      </c>
      <c r="H227" s="25"/>
      <c r="I227" s="159">
        <f t="shared" si="7"/>
        <v>0</v>
      </c>
      <c r="J227" s="26"/>
      <c r="K227" s="27"/>
    </row>
    <row r="228" spans="1:11" x14ac:dyDescent="0.25">
      <c r="A228" s="28" t="s">
        <v>470</v>
      </c>
      <c r="B228" s="29" t="s">
        <v>484</v>
      </c>
      <c r="C228" s="37" t="s">
        <v>485</v>
      </c>
      <c r="D228" s="30" t="s">
        <v>25</v>
      </c>
      <c r="E228" s="27"/>
      <c r="F228" s="31">
        <v>3459.625</v>
      </c>
      <c r="G228" s="22">
        <f t="shared" si="6"/>
        <v>0</v>
      </c>
      <c r="H228" s="25"/>
      <c r="I228" s="159">
        <f t="shared" si="7"/>
        <v>0</v>
      </c>
      <c r="J228" s="26"/>
      <c r="K228" s="27"/>
    </row>
    <row r="229" spans="1:11" x14ac:dyDescent="0.25">
      <c r="A229" s="28" t="s">
        <v>470</v>
      </c>
      <c r="B229" s="29" t="s">
        <v>486</v>
      </c>
      <c r="C229" s="37" t="s">
        <v>487</v>
      </c>
      <c r="D229" s="30" t="s">
        <v>25</v>
      </c>
      <c r="E229" s="27"/>
      <c r="F229" s="31">
        <v>3419.125</v>
      </c>
      <c r="G229" s="22">
        <f t="shared" si="6"/>
        <v>0</v>
      </c>
      <c r="H229" s="25"/>
      <c r="I229" s="159">
        <f t="shared" si="7"/>
        <v>0</v>
      </c>
      <c r="J229" s="26"/>
      <c r="K229" s="27"/>
    </row>
    <row r="230" spans="1:11" x14ac:dyDescent="0.25">
      <c r="A230" s="28" t="s">
        <v>470</v>
      </c>
      <c r="B230" s="67" t="s">
        <v>488</v>
      </c>
      <c r="C230" s="68" t="s">
        <v>489</v>
      </c>
      <c r="D230" s="30" t="s">
        <v>44</v>
      </c>
      <c r="E230" s="27"/>
      <c r="F230" s="31">
        <v>514.29999999999995</v>
      </c>
      <c r="G230" s="22">
        <f t="shared" si="6"/>
        <v>0</v>
      </c>
      <c r="H230" s="25"/>
      <c r="I230" s="159">
        <f t="shared" si="7"/>
        <v>0</v>
      </c>
      <c r="J230" s="26"/>
      <c r="K230" s="27"/>
    </row>
    <row r="231" spans="1:11" x14ac:dyDescent="0.25">
      <c r="A231" s="28" t="s">
        <v>470</v>
      </c>
      <c r="B231" s="29" t="s">
        <v>490</v>
      </c>
      <c r="C231" s="37" t="s">
        <v>491</v>
      </c>
      <c r="D231" s="30" t="s">
        <v>44</v>
      </c>
      <c r="E231" s="27"/>
      <c r="F231" s="56"/>
      <c r="G231" s="22">
        <f t="shared" si="6"/>
        <v>0</v>
      </c>
      <c r="H231" s="25"/>
      <c r="I231" s="159">
        <f t="shared" si="7"/>
        <v>0</v>
      </c>
      <c r="J231" s="26"/>
      <c r="K231" s="27"/>
    </row>
    <row r="232" spans="1:11" x14ac:dyDescent="0.25">
      <c r="A232" s="28" t="s">
        <v>470</v>
      </c>
      <c r="B232" s="29" t="s">
        <v>492</v>
      </c>
      <c r="C232" s="37" t="s">
        <v>493</v>
      </c>
      <c r="D232" s="30" t="s">
        <v>44</v>
      </c>
      <c r="E232" s="27"/>
      <c r="F232" s="56"/>
      <c r="G232" s="22">
        <f t="shared" si="6"/>
        <v>0</v>
      </c>
      <c r="H232" s="25"/>
      <c r="I232" s="159">
        <f t="shared" si="7"/>
        <v>0</v>
      </c>
      <c r="J232" s="26"/>
      <c r="K232" s="27"/>
    </row>
    <row r="233" spans="1:11" x14ac:dyDescent="0.25">
      <c r="A233" s="28" t="s">
        <v>470</v>
      </c>
      <c r="B233" s="29" t="s">
        <v>494</v>
      </c>
      <c r="C233" s="37" t="s">
        <v>495</v>
      </c>
      <c r="D233" s="30" t="s">
        <v>44</v>
      </c>
      <c r="E233" s="27"/>
      <c r="F233" s="56"/>
      <c r="G233" s="22">
        <f t="shared" si="6"/>
        <v>0</v>
      </c>
      <c r="H233" s="25"/>
      <c r="I233" s="159">
        <f t="shared" si="7"/>
        <v>0</v>
      </c>
      <c r="J233" s="26"/>
      <c r="K233" s="27"/>
    </row>
    <row r="234" spans="1:11" x14ac:dyDescent="0.25">
      <c r="A234" s="28" t="s">
        <v>470</v>
      </c>
      <c r="B234" s="29" t="s">
        <v>496</v>
      </c>
      <c r="C234" s="37" t="s">
        <v>497</v>
      </c>
      <c r="D234" s="30" t="s">
        <v>44</v>
      </c>
      <c r="E234" s="27"/>
      <c r="F234" s="31">
        <v>484.29166666666669</v>
      </c>
      <c r="G234" s="22">
        <f t="shared" si="6"/>
        <v>0</v>
      </c>
      <c r="H234" s="25"/>
      <c r="I234" s="159">
        <f t="shared" si="7"/>
        <v>0</v>
      </c>
      <c r="J234" s="26"/>
      <c r="K234" s="27"/>
    </row>
    <row r="235" spans="1:11" x14ac:dyDescent="0.25">
      <c r="A235" s="28" t="s">
        <v>470</v>
      </c>
      <c r="B235" s="29" t="s">
        <v>498</v>
      </c>
      <c r="C235" s="37" t="s">
        <v>499</v>
      </c>
      <c r="D235" s="30" t="s">
        <v>44</v>
      </c>
      <c r="E235" s="27">
        <v>216</v>
      </c>
      <c r="F235" s="31">
        <v>514.29999999999995</v>
      </c>
      <c r="G235" s="22">
        <f t="shared" si="6"/>
        <v>111088.79999999999</v>
      </c>
      <c r="H235" s="25"/>
      <c r="I235" s="159">
        <f t="shared" si="7"/>
        <v>216</v>
      </c>
      <c r="J235" s="26"/>
      <c r="K235" s="27"/>
    </row>
    <row r="236" spans="1:11" x14ac:dyDescent="0.25">
      <c r="A236" s="28" t="s">
        <v>470</v>
      </c>
      <c r="B236" s="29" t="s">
        <v>500</v>
      </c>
      <c r="C236" s="37" t="s">
        <v>501</v>
      </c>
      <c r="D236" s="30" t="s">
        <v>44</v>
      </c>
      <c r="E236" s="27">
        <v>221</v>
      </c>
      <c r="F236" s="31">
        <v>514.29999999999995</v>
      </c>
      <c r="G236" s="22">
        <f t="shared" si="6"/>
        <v>113660.29999999999</v>
      </c>
      <c r="H236" s="25"/>
      <c r="I236" s="159">
        <f t="shared" si="7"/>
        <v>221</v>
      </c>
      <c r="J236" s="26"/>
      <c r="K236" s="27"/>
    </row>
    <row r="237" spans="1:11" x14ac:dyDescent="0.25">
      <c r="A237" s="28" t="s">
        <v>470</v>
      </c>
      <c r="B237" s="29" t="s">
        <v>502</v>
      </c>
      <c r="C237" s="37" t="s">
        <v>503</v>
      </c>
      <c r="D237" s="30" t="s">
        <v>44</v>
      </c>
      <c r="E237" s="27"/>
      <c r="F237" s="31">
        <v>514</v>
      </c>
      <c r="G237" s="22">
        <f t="shared" si="6"/>
        <v>0</v>
      </c>
      <c r="H237" s="25"/>
      <c r="I237" s="159">
        <f t="shared" si="7"/>
        <v>0</v>
      </c>
      <c r="J237" s="26"/>
      <c r="K237" s="27"/>
    </row>
    <row r="238" spans="1:11" x14ac:dyDescent="0.25">
      <c r="A238" s="28" t="s">
        <v>470</v>
      </c>
      <c r="B238" s="29" t="s">
        <v>504</v>
      </c>
      <c r="C238" s="37" t="s">
        <v>505</v>
      </c>
      <c r="D238" s="30" t="s">
        <v>44</v>
      </c>
      <c r="E238" s="27"/>
      <c r="F238" s="56"/>
      <c r="G238" s="22">
        <f t="shared" si="6"/>
        <v>0</v>
      </c>
      <c r="H238" s="25"/>
      <c r="I238" s="159">
        <f t="shared" si="7"/>
        <v>0</v>
      </c>
      <c r="J238" s="26"/>
      <c r="K238" s="27"/>
    </row>
    <row r="239" spans="1:11" x14ac:dyDescent="0.25">
      <c r="A239" s="28" t="s">
        <v>470</v>
      </c>
      <c r="B239" s="29" t="s">
        <v>506</v>
      </c>
      <c r="C239" s="37" t="s">
        <v>507</v>
      </c>
      <c r="D239" s="30" t="s">
        <v>44</v>
      </c>
      <c r="E239" s="27">
        <v>252</v>
      </c>
      <c r="F239" s="31">
        <v>453</v>
      </c>
      <c r="G239" s="22">
        <f t="shared" si="6"/>
        <v>114156</v>
      </c>
      <c r="H239" s="25"/>
      <c r="I239" s="159">
        <f t="shared" si="7"/>
        <v>252</v>
      </c>
      <c r="J239" s="26"/>
      <c r="K239" s="27"/>
    </row>
    <row r="240" spans="1:11" x14ac:dyDescent="0.25">
      <c r="A240" s="28" t="s">
        <v>470</v>
      </c>
      <c r="B240" s="29" t="s">
        <v>508</v>
      </c>
      <c r="C240" s="37" t="s">
        <v>509</v>
      </c>
      <c r="D240" s="30" t="s">
        <v>44</v>
      </c>
      <c r="E240" s="32">
        <v>347</v>
      </c>
      <c r="F240" s="31">
        <v>453</v>
      </c>
      <c r="G240" s="22">
        <f t="shared" si="6"/>
        <v>157191</v>
      </c>
      <c r="H240" s="25"/>
      <c r="I240" s="159">
        <f t="shared" si="7"/>
        <v>347</v>
      </c>
      <c r="J240" s="26"/>
      <c r="K240" s="27"/>
    </row>
    <row r="241" spans="1:11" x14ac:dyDescent="0.25">
      <c r="A241" s="28" t="s">
        <v>470</v>
      </c>
      <c r="B241" s="29" t="s">
        <v>510</v>
      </c>
      <c r="C241" s="37" t="s">
        <v>511</v>
      </c>
      <c r="D241" s="30" t="s">
        <v>44</v>
      </c>
      <c r="E241" s="27"/>
      <c r="F241" s="31">
        <v>453</v>
      </c>
      <c r="G241" s="22">
        <f t="shared" si="6"/>
        <v>0</v>
      </c>
      <c r="H241" s="25"/>
      <c r="I241" s="159">
        <f t="shared" si="7"/>
        <v>0</v>
      </c>
      <c r="J241" s="26"/>
      <c r="K241" s="27"/>
    </row>
    <row r="242" spans="1:11" x14ac:dyDescent="0.25">
      <c r="A242" s="28" t="s">
        <v>470</v>
      </c>
      <c r="B242" s="29" t="s">
        <v>512</v>
      </c>
      <c r="C242" s="37" t="s">
        <v>513</v>
      </c>
      <c r="D242" s="30" t="s">
        <v>44</v>
      </c>
      <c r="E242" s="27"/>
      <c r="F242" s="31">
        <v>466</v>
      </c>
      <c r="G242" s="22">
        <f t="shared" si="6"/>
        <v>0</v>
      </c>
      <c r="H242" s="25"/>
      <c r="I242" s="159">
        <f t="shared" si="7"/>
        <v>0</v>
      </c>
      <c r="J242" s="26"/>
      <c r="K242" s="27"/>
    </row>
    <row r="243" spans="1:11" x14ac:dyDescent="0.25">
      <c r="A243" s="28" t="s">
        <v>470</v>
      </c>
      <c r="B243" s="29" t="s">
        <v>514</v>
      </c>
      <c r="C243" s="37" t="s">
        <v>515</v>
      </c>
      <c r="D243" s="30" t="s">
        <v>44</v>
      </c>
      <c r="E243" s="27">
        <v>411</v>
      </c>
      <c r="F243" s="31">
        <v>453</v>
      </c>
      <c r="G243" s="22">
        <f t="shared" si="6"/>
        <v>186183</v>
      </c>
      <c r="H243" s="25"/>
      <c r="I243" s="159">
        <f t="shared" si="7"/>
        <v>411</v>
      </c>
      <c r="J243" s="26"/>
      <c r="K243" s="27"/>
    </row>
    <row r="244" spans="1:11" x14ac:dyDescent="0.25">
      <c r="A244" s="28" t="s">
        <v>470</v>
      </c>
      <c r="B244" s="29" t="s">
        <v>516</v>
      </c>
      <c r="C244" s="37" t="s">
        <v>517</v>
      </c>
      <c r="D244" s="30" t="s">
        <v>44</v>
      </c>
      <c r="E244" s="32"/>
      <c r="F244" s="31">
        <v>235.1</v>
      </c>
      <c r="G244" s="22">
        <f t="shared" si="6"/>
        <v>0</v>
      </c>
      <c r="H244" s="25"/>
      <c r="I244" s="159">
        <f t="shared" si="7"/>
        <v>0</v>
      </c>
      <c r="J244" s="26"/>
      <c r="K244" s="27"/>
    </row>
    <row r="245" spans="1:11" x14ac:dyDescent="0.25">
      <c r="A245" s="28" t="s">
        <v>470</v>
      </c>
      <c r="B245" s="29" t="s">
        <v>518</v>
      </c>
      <c r="C245" s="37" t="s">
        <v>519</v>
      </c>
      <c r="D245" s="30" t="s">
        <v>44</v>
      </c>
      <c r="E245" s="32"/>
      <c r="F245" s="31">
        <v>228.15</v>
      </c>
      <c r="G245" s="22">
        <f t="shared" si="6"/>
        <v>0</v>
      </c>
      <c r="H245" s="25"/>
      <c r="I245" s="159">
        <f t="shared" si="7"/>
        <v>0</v>
      </c>
      <c r="J245" s="26"/>
      <c r="K245" s="27"/>
    </row>
    <row r="246" spans="1:11" x14ac:dyDescent="0.25">
      <c r="A246" s="28" t="s">
        <v>470</v>
      </c>
      <c r="B246" s="29" t="s">
        <v>520</v>
      </c>
      <c r="C246" s="37" t="s">
        <v>521</v>
      </c>
      <c r="D246" s="30" t="s">
        <v>44</v>
      </c>
      <c r="E246" s="27">
        <v>374</v>
      </c>
      <c r="F246" s="31">
        <v>395</v>
      </c>
      <c r="G246" s="22">
        <f t="shared" si="6"/>
        <v>147730</v>
      </c>
      <c r="H246" s="25"/>
      <c r="I246" s="159">
        <f t="shared" si="7"/>
        <v>374</v>
      </c>
      <c r="J246" s="26"/>
      <c r="K246" s="27"/>
    </row>
    <row r="247" spans="1:11" x14ac:dyDescent="0.25">
      <c r="A247" s="28" t="s">
        <v>470</v>
      </c>
      <c r="B247" s="29" t="s">
        <v>522</v>
      </c>
      <c r="C247" s="37" t="s">
        <v>523</v>
      </c>
      <c r="D247" s="30" t="s">
        <v>44</v>
      </c>
      <c r="E247" s="27">
        <v>285</v>
      </c>
      <c r="F247" s="31">
        <v>395</v>
      </c>
      <c r="G247" s="22">
        <f t="shared" si="6"/>
        <v>112575</v>
      </c>
      <c r="H247" s="25"/>
      <c r="I247" s="159">
        <f t="shared" si="7"/>
        <v>285</v>
      </c>
      <c r="J247" s="26"/>
      <c r="K247" s="27"/>
    </row>
    <row r="248" spans="1:11" x14ac:dyDescent="0.25">
      <c r="A248" s="28" t="s">
        <v>524</v>
      </c>
      <c r="B248" s="29" t="s">
        <v>525</v>
      </c>
      <c r="C248" s="37" t="s">
        <v>526</v>
      </c>
      <c r="D248" s="30" t="s">
        <v>44</v>
      </c>
      <c r="E248" s="32">
        <v>1862</v>
      </c>
      <c r="F248" s="31">
        <v>207.5</v>
      </c>
      <c r="G248" s="22">
        <f t="shared" si="6"/>
        <v>386365</v>
      </c>
      <c r="H248" s="25"/>
      <c r="I248" s="159">
        <f t="shared" si="7"/>
        <v>1862</v>
      </c>
      <c r="J248" s="26"/>
      <c r="K248" s="27"/>
    </row>
    <row r="249" spans="1:11" x14ac:dyDescent="0.25">
      <c r="A249" s="28" t="s">
        <v>524</v>
      </c>
      <c r="B249" s="29" t="s">
        <v>527</v>
      </c>
      <c r="C249" s="37" t="s">
        <v>528</v>
      </c>
      <c r="D249" s="30" t="s">
        <v>44</v>
      </c>
      <c r="E249" s="32">
        <v>140</v>
      </c>
      <c r="F249" s="31">
        <v>579</v>
      </c>
      <c r="G249" s="22">
        <f t="shared" si="6"/>
        <v>81060</v>
      </c>
      <c r="H249" s="25"/>
      <c r="I249" s="159">
        <f t="shared" si="7"/>
        <v>140</v>
      </c>
      <c r="J249" s="26"/>
      <c r="K249" s="27"/>
    </row>
    <row r="250" spans="1:11" x14ac:dyDescent="0.25">
      <c r="A250" s="28" t="s">
        <v>524</v>
      </c>
      <c r="B250" s="29" t="s">
        <v>529</v>
      </c>
      <c r="C250" s="37" t="s">
        <v>530</v>
      </c>
      <c r="D250" s="30" t="s">
        <v>44</v>
      </c>
      <c r="E250" s="32">
        <v>140</v>
      </c>
      <c r="F250" s="31">
        <v>579</v>
      </c>
      <c r="G250" s="22">
        <f t="shared" si="6"/>
        <v>81060</v>
      </c>
      <c r="H250" s="25"/>
      <c r="I250" s="159">
        <f t="shared" si="7"/>
        <v>140</v>
      </c>
      <c r="J250" s="26"/>
      <c r="K250" s="27"/>
    </row>
    <row r="251" spans="1:11" x14ac:dyDescent="0.25">
      <c r="A251" s="28" t="s">
        <v>524</v>
      </c>
      <c r="B251" s="29" t="s">
        <v>531</v>
      </c>
      <c r="C251" s="37" t="s">
        <v>532</v>
      </c>
      <c r="D251" s="30" t="s">
        <v>44</v>
      </c>
      <c r="E251" s="32">
        <v>140</v>
      </c>
      <c r="F251" s="31">
        <v>579</v>
      </c>
      <c r="G251" s="22">
        <f t="shared" si="6"/>
        <v>81060</v>
      </c>
      <c r="H251" s="25"/>
      <c r="I251" s="159">
        <f t="shared" si="7"/>
        <v>140</v>
      </c>
      <c r="J251" s="26"/>
      <c r="K251" s="27"/>
    </row>
    <row r="252" spans="1:11" x14ac:dyDescent="0.25">
      <c r="A252" s="28" t="s">
        <v>470</v>
      </c>
      <c r="B252" s="29" t="s">
        <v>533</v>
      </c>
      <c r="C252" s="37" t="s">
        <v>534</v>
      </c>
      <c r="D252" s="30" t="s">
        <v>44</v>
      </c>
      <c r="E252" s="27"/>
      <c r="F252" s="31">
        <v>123.2</v>
      </c>
      <c r="G252" s="22">
        <f t="shared" si="6"/>
        <v>0</v>
      </c>
      <c r="H252" s="25"/>
      <c r="I252" s="159">
        <f t="shared" si="7"/>
        <v>0</v>
      </c>
      <c r="J252" s="26"/>
      <c r="K252" s="27"/>
    </row>
    <row r="253" spans="1:11" x14ac:dyDescent="0.25">
      <c r="A253" s="28" t="s">
        <v>470</v>
      </c>
      <c r="B253" s="29" t="s">
        <v>535</v>
      </c>
      <c r="C253" s="37" t="s">
        <v>536</v>
      </c>
      <c r="D253" s="30" t="s">
        <v>44</v>
      </c>
      <c r="E253" s="32">
        <v>736</v>
      </c>
      <c r="F253" s="31">
        <v>123.2</v>
      </c>
      <c r="G253" s="22">
        <f t="shared" si="6"/>
        <v>90675.199999999997</v>
      </c>
      <c r="H253" s="25"/>
      <c r="I253" s="159">
        <f t="shared" si="7"/>
        <v>736</v>
      </c>
      <c r="J253" s="26"/>
      <c r="K253" s="27"/>
    </row>
    <row r="254" spans="1:11" x14ac:dyDescent="0.25">
      <c r="A254" s="28" t="s">
        <v>470</v>
      </c>
      <c r="B254" s="29" t="s">
        <v>537</v>
      </c>
      <c r="C254" s="37" t="s">
        <v>538</v>
      </c>
      <c r="D254" s="30" t="s">
        <v>44</v>
      </c>
      <c r="E254" s="27"/>
      <c r="F254" s="56"/>
      <c r="G254" s="22">
        <f t="shared" si="6"/>
        <v>0</v>
      </c>
      <c r="H254" s="25"/>
      <c r="I254" s="159">
        <f t="shared" si="7"/>
        <v>0</v>
      </c>
      <c r="J254" s="26"/>
      <c r="K254" s="27"/>
    </row>
    <row r="255" spans="1:11" x14ac:dyDescent="0.25">
      <c r="A255" s="28" t="s">
        <v>470</v>
      </c>
      <c r="B255" s="29" t="s">
        <v>539</v>
      </c>
      <c r="C255" s="37" t="s">
        <v>540</v>
      </c>
      <c r="D255" s="30" t="s">
        <v>44</v>
      </c>
      <c r="E255" s="32">
        <v>1800</v>
      </c>
      <c r="F255" s="31">
        <v>280</v>
      </c>
      <c r="G255" s="22">
        <f t="shared" si="6"/>
        <v>504000</v>
      </c>
      <c r="H255" s="25"/>
      <c r="I255" s="159">
        <f t="shared" si="7"/>
        <v>1800</v>
      </c>
      <c r="J255" s="26"/>
      <c r="K255" s="27"/>
    </row>
    <row r="256" spans="1:11" x14ac:dyDescent="0.25">
      <c r="A256" s="28" t="s">
        <v>470</v>
      </c>
      <c r="B256" s="29" t="s">
        <v>541</v>
      </c>
      <c r="C256" s="37" t="s">
        <v>542</v>
      </c>
      <c r="D256" s="30" t="s">
        <v>44</v>
      </c>
      <c r="E256" s="32">
        <v>1510</v>
      </c>
      <c r="F256" s="31">
        <v>126.3</v>
      </c>
      <c r="G256" s="22">
        <f t="shared" si="6"/>
        <v>190713</v>
      </c>
      <c r="H256" s="25"/>
      <c r="I256" s="159">
        <f t="shared" si="7"/>
        <v>1510</v>
      </c>
      <c r="J256" s="26"/>
      <c r="K256" s="27"/>
    </row>
    <row r="257" spans="1:11" x14ac:dyDescent="0.25">
      <c r="A257" s="28" t="s">
        <v>470</v>
      </c>
      <c r="B257" s="29" t="s">
        <v>543</v>
      </c>
      <c r="C257" s="37" t="s">
        <v>544</v>
      </c>
      <c r="D257" s="30" t="s">
        <v>44</v>
      </c>
      <c r="E257" s="32">
        <v>2316</v>
      </c>
      <c r="F257" s="31">
        <v>160.5</v>
      </c>
      <c r="G257" s="22">
        <f t="shared" si="6"/>
        <v>371718</v>
      </c>
      <c r="H257" s="25"/>
      <c r="I257" s="159">
        <f t="shared" si="7"/>
        <v>2316</v>
      </c>
      <c r="J257" s="26"/>
      <c r="K257" s="27"/>
    </row>
    <row r="258" spans="1:11" x14ac:dyDescent="0.25">
      <c r="A258" s="28" t="s">
        <v>470</v>
      </c>
      <c r="B258" s="29" t="s">
        <v>545</v>
      </c>
      <c r="C258" s="37" t="s">
        <v>546</v>
      </c>
      <c r="D258" s="30" t="s">
        <v>44</v>
      </c>
      <c r="E258" s="27"/>
      <c r="F258" s="56"/>
      <c r="G258" s="22">
        <f t="shared" si="6"/>
        <v>0</v>
      </c>
      <c r="H258" s="25"/>
      <c r="I258" s="159">
        <f t="shared" si="7"/>
        <v>0</v>
      </c>
      <c r="J258" s="26"/>
      <c r="K258" s="27"/>
    </row>
    <row r="259" spans="1:11" x14ac:dyDescent="0.25">
      <c r="A259" s="28" t="s">
        <v>470</v>
      </c>
      <c r="B259" s="29" t="s">
        <v>547</v>
      </c>
      <c r="C259" s="37" t="s">
        <v>548</v>
      </c>
      <c r="D259" s="30" t="s">
        <v>44</v>
      </c>
      <c r="E259" s="32">
        <v>1932</v>
      </c>
      <c r="F259" s="31">
        <v>243</v>
      </c>
      <c r="G259" s="22">
        <f t="shared" si="6"/>
        <v>469476</v>
      </c>
      <c r="H259" s="25"/>
      <c r="I259" s="159">
        <f t="shared" si="7"/>
        <v>1932</v>
      </c>
      <c r="J259" s="26"/>
      <c r="K259" s="27"/>
    </row>
    <row r="260" spans="1:11" x14ac:dyDescent="0.25">
      <c r="A260" s="28" t="s">
        <v>470</v>
      </c>
      <c r="B260" s="29" t="s">
        <v>549</v>
      </c>
      <c r="C260" s="37" t="s">
        <v>550</v>
      </c>
      <c r="D260" s="30" t="s">
        <v>44</v>
      </c>
      <c r="E260" s="32">
        <v>3020</v>
      </c>
      <c r="F260" s="31">
        <v>100</v>
      </c>
      <c r="G260" s="22">
        <f t="shared" si="6"/>
        <v>302000</v>
      </c>
      <c r="H260" s="25"/>
      <c r="I260" s="159">
        <f t="shared" si="7"/>
        <v>3020</v>
      </c>
      <c r="J260" s="26"/>
      <c r="K260" s="27"/>
    </row>
    <row r="261" spans="1:11" x14ac:dyDescent="0.25">
      <c r="A261" s="28" t="s">
        <v>470</v>
      </c>
      <c r="B261" s="29" t="s">
        <v>551</v>
      </c>
      <c r="C261" s="37" t="s">
        <v>552</v>
      </c>
      <c r="D261" s="30" t="s">
        <v>44</v>
      </c>
      <c r="E261" s="27"/>
      <c r="F261" s="56"/>
      <c r="G261" s="22">
        <f t="shared" si="6"/>
        <v>0</v>
      </c>
      <c r="H261" s="25"/>
      <c r="I261" s="159">
        <f t="shared" si="7"/>
        <v>0</v>
      </c>
      <c r="J261" s="26"/>
      <c r="K261" s="27"/>
    </row>
    <row r="262" spans="1:11" x14ac:dyDescent="0.25">
      <c r="A262" s="28" t="s">
        <v>470</v>
      </c>
      <c r="B262" s="29" t="s">
        <v>553</v>
      </c>
      <c r="C262" s="37" t="s">
        <v>554</v>
      </c>
      <c r="D262" s="30" t="s">
        <v>44</v>
      </c>
      <c r="E262" s="27"/>
      <c r="F262" s="56"/>
      <c r="G262" s="22">
        <f t="shared" si="6"/>
        <v>0</v>
      </c>
      <c r="H262" s="25"/>
      <c r="I262" s="159">
        <f t="shared" si="7"/>
        <v>0</v>
      </c>
      <c r="J262" s="26"/>
      <c r="K262" s="27"/>
    </row>
    <row r="263" spans="1:11" x14ac:dyDescent="0.25">
      <c r="A263" s="28" t="s">
        <v>470</v>
      </c>
      <c r="B263" s="29" t="s">
        <v>555</v>
      </c>
      <c r="C263" s="37" t="s">
        <v>556</v>
      </c>
      <c r="D263" s="30" t="s">
        <v>44</v>
      </c>
      <c r="E263" s="27"/>
      <c r="F263" s="56"/>
      <c r="G263" s="22">
        <f t="shared" si="6"/>
        <v>0</v>
      </c>
      <c r="H263" s="25"/>
      <c r="I263" s="159">
        <f t="shared" si="7"/>
        <v>0</v>
      </c>
      <c r="J263" s="26"/>
      <c r="K263" s="27"/>
    </row>
    <row r="264" spans="1:11" x14ac:dyDescent="0.25">
      <c r="A264" s="28" t="s">
        <v>557</v>
      </c>
      <c r="B264" s="69" t="s">
        <v>558</v>
      </c>
      <c r="C264" s="70" t="s">
        <v>559</v>
      </c>
      <c r="D264" s="30" t="s">
        <v>25</v>
      </c>
      <c r="E264" s="27">
        <v>91</v>
      </c>
      <c r="F264" s="31">
        <v>1810.5</v>
      </c>
      <c r="G264" s="22">
        <f t="shared" si="6"/>
        <v>164755.5</v>
      </c>
      <c r="H264" s="25"/>
      <c r="I264" s="159">
        <f t="shared" si="7"/>
        <v>91</v>
      </c>
      <c r="J264" s="26" t="s">
        <v>50</v>
      </c>
      <c r="K264" s="27"/>
    </row>
    <row r="265" spans="1:11" x14ac:dyDescent="0.25">
      <c r="A265" s="28" t="s">
        <v>557</v>
      </c>
      <c r="B265" s="29" t="s">
        <v>560</v>
      </c>
      <c r="C265" s="37" t="s">
        <v>561</v>
      </c>
      <c r="D265" s="30" t="s">
        <v>25</v>
      </c>
      <c r="E265" s="27">
        <v>61</v>
      </c>
      <c r="F265" s="31">
        <v>1880</v>
      </c>
      <c r="G265" s="22">
        <f t="shared" si="6"/>
        <v>114680</v>
      </c>
      <c r="H265" s="25"/>
      <c r="I265" s="159">
        <f t="shared" si="7"/>
        <v>61</v>
      </c>
      <c r="J265" s="26" t="s">
        <v>50</v>
      </c>
      <c r="K265" s="27"/>
    </row>
    <row r="266" spans="1:11" x14ac:dyDescent="0.25">
      <c r="A266" s="28" t="s">
        <v>557</v>
      </c>
      <c r="B266" s="29" t="s">
        <v>562</v>
      </c>
      <c r="C266" s="37" t="s">
        <v>563</v>
      </c>
      <c r="D266" s="30" t="s">
        <v>25</v>
      </c>
      <c r="E266" s="27">
        <v>7</v>
      </c>
      <c r="F266" s="31">
        <v>2130</v>
      </c>
      <c r="G266" s="22">
        <f t="shared" ref="G266:G329" si="8">E266*F266</f>
        <v>14910</v>
      </c>
      <c r="H266" s="25"/>
      <c r="I266" s="159">
        <f t="shared" si="7"/>
        <v>7</v>
      </c>
      <c r="J266" s="26"/>
      <c r="K266" s="27"/>
    </row>
    <row r="267" spans="1:11" x14ac:dyDescent="0.25">
      <c r="A267" s="28" t="s">
        <v>557</v>
      </c>
      <c r="B267" s="29" t="s">
        <v>564</v>
      </c>
      <c r="C267" s="37" t="s">
        <v>565</v>
      </c>
      <c r="D267" s="30" t="s">
        <v>25</v>
      </c>
      <c r="E267" s="27">
        <v>106</v>
      </c>
      <c r="F267" s="42">
        <v>2000</v>
      </c>
      <c r="G267" s="22">
        <f t="shared" si="8"/>
        <v>212000</v>
      </c>
      <c r="H267" s="25"/>
      <c r="I267" s="159">
        <f t="shared" si="7"/>
        <v>106</v>
      </c>
      <c r="J267" s="7" t="s">
        <v>50</v>
      </c>
      <c r="K267" s="27"/>
    </row>
    <row r="268" spans="1:11" x14ac:dyDescent="0.25">
      <c r="A268" s="28" t="s">
        <v>557</v>
      </c>
      <c r="B268" s="29" t="s">
        <v>566</v>
      </c>
      <c r="C268" s="37" t="s">
        <v>567</v>
      </c>
      <c r="D268" s="30" t="s">
        <v>25</v>
      </c>
      <c r="E268" s="27">
        <v>60</v>
      </c>
      <c r="F268" s="31">
        <v>2290</v>
      </c>
      <c r="G268" s="22">
        <f t="shared" si="8"/>
        <v>137400</v>
      </c>
      <c r="H268" s="25"/>
      <c r="I268" s="159">
        <f t="shared" si="7"/>
        <v>60</v>
      </c>
      <c r="J268" s="26" t="s">
        <v>50</v>
      </c>
      <c r="K268" s="27"/>
    </row>
    <row r="269" spans="1:11" x14ac:dyDescent="0.25">
      <c r="A269" s="28" t="s">
        <v>557</v>
      </c>
      <c r="B269" s="29" t="s">
        <v>568</v>
      </c>
      <c r="C269" s="37" t="s">
        <v>569</v>
      </c>
      <c r="D269" s="30" t="s">
        <v>25</v>
      </c>
      <c r="E269" s="27">
        <v>125</v>
      </c>
      <c r="F269" s="31">
        <v>2121.4285</v>
      </c>
      <c r="G269" s="22">
        <f t="shared" si="8"/>
        <v>265178.5625</v>
      </c>
      <c r="H269" s="25"/>
      <c r="I269" s="159">
        <f t="shared" si="7"/>
        <v>125</v>
      </c>
      <c r="J269" s="26" t="s">
        <v>50</v>
      </c>
      <c r="K269" s="27"/>
    </row>
    <row r="270" spans="1:11" x14ac:dyDescent="0.25">
      <c r="A270" s="28" t="s">
        <v>557</v>
      </c>
      <c r="B270" s="29" t="s">
        <v>570</v>
      </c>
      <c r="C270" s="37" t="s">
        <v>571</v>
      </c>
      <c r="D270" s="30" t="s">
        <v>25</v>
      </c>
      <c r="E270" s="27">
        <v>91</v>
      </c>
      <c r="F270" s="31">
        <v>1816.4</v>
      </c>
      <c r="G270" s="22">
        <f t="shared" si="8"/>
        <v>165292.4</v>
      </c>
      <c r="H270" s="25"/>
      <c r="I270" s="159">
        <f t="shared" si="7"/>
        <v>91</v>
      </c>
      <c r="J270" s="26" t="s">
        <v>50</v>
      </c>
      <c r="K270" s="27"/>
    </row>
    <row r="271" spans="1:11" x14ac:dyDescent="0.25">
      <c r="A271" s="28" t="s">
        <v>557</v>
      </c>
      <c r="B271" s="29" t="s">
        <v>572</v>
      </c>
      <c r="C271" s="37" t="s">
        <v>573</v>
      </c>
      <c r="D271" s="30" t="s">
        <v>25</v>
      </c>
      <c r="E271" s="27">
        <v>43</v>
      </c>
      <c r="F271" s="31">
        <v>2190</v>
      </c>
      <c r="G271" s="22">
        <f t="shared" si="8"/>
        <v>94170</v>
      </c>
      <c r="H271" s="25"/>
      <c r="I271" s="159">
        <f t="shared" si="7"/>
        <v>43</v>
      </c>
      <c r="J271" s="26" t="s">
        <v>50</v>
      </c>
      <c r="K271" s="27"/>
    </row>
    <row r="272" spans="1:11" x14ac:dyDescent="0.25">
      <c r="A272" s="28" t="s">
        <v>557</v>
      </c>
      <c r="B272" s="29" t="s">
        <v>574</v>
      </c>
      <c r="C272" s="37" t="s">
        <v>575</v>
      </c>
      <c r="D272" s="30" t="s">
        <v>25</v>
      </c>
      <c r="E272" s="27">
        <v>10</v>
      </c>
      <c r="F272" s="31">
        <v>1961.875</v>
      </c>
      <c r="G272" s="22">
        <f t="shared" si="8"/>
        <v>19618.75</v>
      </c>
      <c r="H272" s="25"/>
      <c r="I272" s="159">
        <f t="shared" si="7"/>
        <v>10</v>
      </c>
      <c r="J272" s="26"/>
      <c r="K272" s="27"/>
    </row>
    <row r="273" spans="1:11" x14ac:dyDescent="0.25">
      <c r="A273" s="28" t="s">
        <v>557</v>
      </c>
      <c r="B273" s="29" t="s">
        <v>576</v>
      </c>
      <c r="C273" s="37" t="s">
        <v>577</v>
      </c>
      <c r="D273" s="30" t="s">
        <v>25</v>
      </c>
      <c r="E273" s="27">
        <v>130</v>
      </c>
      <c r="F273" s="31">
        <v>2290</v>
      </c>
      <c r="G273" s="22">
        <f t="shared" si="8"/>
        <v>297700</v>
      </c>
      <c r="H273" s="25"/>
      <c r="I273" s="159">
        <f t="shared" si="7"/>
        <v>130</v>
      </c>
      <c r="J273" s="26" t="s">
        <v>50</v>
      </c>
      <c r="K273" s="27"/>
    </row>
    <row r="274" spans="1:11" x14ac:dyDescent="0.25">
      <c r="A274" s="28" t="s">
        <v>557</v>
      </c>
      <c r="B274" s="29" t="s">
        <v>578</v>
      </c>
      <c r="C274" s="37" t="s">
        <v>579</v>
      </c>
      <c r="D274" s="30" t="s">
        <v>25</v>
      </c>
      <c r="E274" s="27">
        <v>40</v>
      </c>
      <c r="F274" s="42">
        <v>1865</v>
      </c>
      <c r="G274" s="22">
        <f t="shared" si="8"/>
        <v>74600</v>
      </c>
      <c r="H274" s="25"/>
      <c r="I274" s="159">
        <f t="shared" si="7"/>
        <v>40</v>
      </c>
      <c r="J274" s="26" t="s">
        <v>50</v>
      </c>
      <c r="K274" s="27"/>
    </row>
    <row r="275" spans="1:11" x14ac:dyDescent="0.25">
      <c r="A275" s="28" t="s">
        <v>557</v>
      </c>
      <c r="B275" s="29" t="s">
        <v>580</v>
      </c>
      <c r="C275" s="37" t="s">
        <v>581</v>
      </c>
      <c r="D275" s="30" t="s">
        <v>25</v>
      </c>
      <c r="E275" s="27"/>
      <c r="F275" s="31">
        <v>1777.2</v>
      </c>
      <c r="G275" s="22">
        <f t="shared" si="8"/>
        <v>0</v>
      </c>
      <c r="H275" s="25"/>
      <c r="I275" s="159">
        <f t="shared" si="7"/>
        <v>0</v>
      </c>
      <c r="J275" s="26" t="s">
        <v>50</v>
      </c>
      <c r="K275" s="27"/>
    </row>
    <row r="276" spans="1:11" x14ac:dyDescent="0.25">
      <c r="A276" s="28" t="s">
        <v>557</v>
      </c>
      <c r="B276" s="29" t="s">
        <v>582</v>
      </c>
      <c r="C276" s="37" t="s">
        <v>583</v>
      </c>
      <c r="D276" s="30" t="s">
        <v>25</v>
      </c>
      <c r="E276" s="27">
        <v>31</v>
      </c>
      <c r="F276" s="38">
        <v>2909.6</v>
      </c>
      <c r="G276" s="22">
        <f t="shared" si="8"/>
        <v>90197.599999999991</v>
      </c>
      <c r="H276" s="25"/>
      <c r="I276" s="159">
        <f t="shared" si="7"/>
        <v>31</v>
      </c>
      <c r="J276" s="26"/>
      <c r="K276" s="27"/>
    </row>
    <row r="277" spans="1:11" x14ac:dyDescent="0.25">
      <c r="A277" s="28" t="s">
        <v>557</v>
      </c>
      <c r="B277" s="29" t="s">
        <v>584</v>
      </c>
      <c r="C277" s="37" t="s">
        <v>585</v>
      </c>
      <c r="D277" s="30" t="s">
        <v>25</v>
      </c>
      <c r="E277" s="27">
        <v>88</v>
      </c>
      <c r="F277" s="38">
        <v>2487.6666666666665</v>
      </c>
      <c r="G277" s="22">
        <f t="shared" si="8"/>
        <v>218914.66666666666</v>
      </c>
      <c r="H277" s="25"/>
      <c r="I277" s="159">
        <f t="shared" ref="I277:I345" si="9">E277-H277</f>
        <v>88</v>
      </c>
      <c r="J277" s="26"/>
      <c r="K277" s="27"/>
    </row>
    <row r="278" spans="1:11" x14ac:dyDescent="0.25">
      <c r="A278" s="28" t="s">
        <v>557</v>
      </c>
      <c r="B278" s="29" t="s">
        <v>586</v>
      </c>
      <c r="C278" s="37" t="s">
        <v>587</v>
      </c>
      <c r="D278" s="30" t="s">
        <v>25</v>
      </c>
      <c r="E278" s="27">
        <v>39</v>
      </c>
      <c r="F278" s="31">
        <v>2790</v>
      </c>
      <c r="G278" s="22">
        <f t="shared" si="8"/>
        <v>108810</v>
      </c>
      <c r="H278" s="25"/>
      <c r="I278" s="159">
        <f t="shared" si="9"/>
        <v>39</v>
      </c>
      <c r="J278" s="26"/>
      <c r="K278" s="27"/>
    </row>
    <row r="279" spans="1:11" x14ac:dyDescent="0.25">
      <c r="A279" s="28" t="s">
        <v>557</v>
      </c>
      <c r="B279" s="29" t="s">
        <v>588</v>
      </c>
      <c r="C279" s="37" t="s">
        <v>589</v>
      </c>
      <c r="D279" s="30" t="s">
        <v>25</v>
      </c>
      <c r="E279" s="27">
        <v>36</v>
      </c>
      <c r="F279" s="31">
        <v>1930</v>
      </c>
      <c r="G279" s="22">
        <f t="shared" si="8"/>
        <v>69480</v>
      </c>
      <c r="H279" s="25"/>
      <c r="I279" s="159">
        <f t="shared" si="9"/>
        <v>36</v>
      </c>
      <c r="J279" s="26"/>
      <c r="K279" s="27"/>
    </row>
    <row r="280" spans="1:11" x14ac:dyDescent="0.25">
      <c r="A280" s="28" t="s">
        <v>557</v>
      </c>
      <c r="B280" s="29" t="s">
        <v>590</v>
      </c>
      <c r="C280" s="37" t="s">
        <v>591</v>
      </c>
      <c r="D280" s="30" t="s">
        <v>25</v>
      </c>
      <c r="E280" s="27">
        <v>22</v>
      </c>
      <c r="F280" s="38">
        <v>3589.5</v>
      </c>
      <c r="G280" s="22">
        <f t="shared" si="8"/>
        <v>78969</v>
      </c>
      <c r="H280" s="25"/>
      <c r="I280" s="159">
        <f t="shared" si="9"/>
        <v>22</v>
      </c>
      <c r="J280" s="26"/>
      <c r="K280" s="27"/>
    </row>
    <row r="281" spans="1:11" x14ac:dyDescent="0.25">
      <c r="A281" s="28" t="s">
        <v>557</v>
      </c>
      <c r="B281" s="29" t="s">
        <v>592</v>
      </c>
      <c r="C281" s="37" t="s">
        <v>593</v>
      </c>
      <c r="D281" s="30" t="s">
        <v>25</v>
      </c>
      <c r="E281" s="27">
        <v>31</v>
      </c>
      <c r="F281" s="31">
        <v>2190</v>
      </c>
      <c r="G281" s="22">
        <f t="shared" si="8"/>
        <v>67890</v>
      </c>
      <c r="H281" s="25"/>
      <c r="I281" s="159">
        <f t="shared" si="9"/>
        <v>31</v>
      </c>
      <c r="J281" s="26"/>
      <c r="K281" s="27"/>
    </row>
    <row r="282" spans="1:11" x14ac:dyDescent="0.25">
      <c r="A282" s="28" t="s">
        <v>557</v>
      </c>
      <c r="B282" s="29" t="s">
        <v>594</v>
      </c>
      <c r="C282" s="37" t="s">
        <v>595</v>
      </c>
      <c r="D282" s="30" t="s">
        <v>25</v>
      </c>
      <c r="E282" s="27">
        <v>17</v>
      </c>
      <c r="F282" s="38">
        <v>1610.5384615384614</v>
      </c>
      <c r="G282" s="22">
        <f t="shared" si="8"/>
        <v>27379.153846153844</v>
      </c>
      <c r="H282" s="25"/>
      <c r="I282" s="159">
        <f t="shared" si="9"/>
        <v>17</v>
      </c>
      <c r="J282" s="26"/>
      <c r="K282" s="27"/>
    </row>
    <row r="283" spans="1:11" x14ac:dyDescent="0.25">
      <c r="A283" s="28" t="s">
        <v>557</v>
      </c>
      <c r="B283" s="29" t="s">
        <v>596</v>
      </c>
      <c r="C283" s="37" t="s">
        <v>597</v>
      </c>
      <c r="D283" s="30" t="s">
        <v>25</v>
      </c>
      <c r="E283" s="27">
        <v>63</v>
      </c>
      <c r="F283" s="31">
        <v>1650</v>
      </c>
      <c r="G283" s="22">
        <f t="shared" si="8"/>
        <v>103950</v>
      </c>
      <c r="H283" s="25"/>
      <c r="I283" s="159">
        <f t="shared" si="9"/>
        <v>63</v>
      </c>
      <c r="J283" s="26"/>
      <c r="K283" s="27"/>
    </row>
    <row r="284" spans="1:11" x14ac:dyDescent="0.25">
      <c r="A284" s="28" t="s">
        <v>557</v>
      </c>
      <c r="B284" s="29" t="s">
        <v>598</v>
      </c>
      <c r="C284" s="37" t="s">
        <v>599</v>
      </c>
      <c r="D284" s="30" t="s">
        <v>25</v>
      </c>
      <c r="E284" s="27">
        <v>78</v>
      </c>
      <c r="F284" s="31">
        <v>1490</v>
      </c>
      <c r="G284" s="22">
        <f t="shared" si="8"/>
        <v>116220</v>
      </c>
      <c r="H284" s="25"/>
      <c r="I284" s="159">
        <f t="shared" si="9"/>
        <v>78</v>
      </c>
      <c r="J284" s="26"/>
      <c r="K284" s="27"/>
    </row>
    <row r="285" spans="1:11" x14ac:dyDescent="0.25">
      <c r="A285" s="28" t="s">
        <v>557</v>
      </c>
      <c r="B285" s="29" t="s">
        <v>600</v>
      </c>
      <c r="C285" s="37" t="s">
        <v>601</v>
      </c>
      <c r="D285" s="30" t="s">
        <v>25</v>
      </c>
      <c r="E285" s="27">
        <v>59</v>
      </c>
      <c r="F285" s="31">
        <v>2100</v>
      </c>
      <c r="G285" s="22">
        <f t="shared" si="8"/>
        <v>123900</v>
      </c>
      <c r="H285" s="25"/>
      <c r="I285" s="159">
        <f t="shared" si="9"/>
        <v>59</v>
      </c>
      <c r="J285" s="26"/>
      <c r="K285" s="27"/>
    </row>
    <row r="286" spans="1:11" x14ac:dyDescent="0.25">
      <c r="A286" s="28" t="s">
        <v>557</v>
      </c>
      <c r="B286" s="29" t="s">
        <v>602</v>
      </c>
      <c r="C286" s="37" t="s">
        <v>603</v>
      </c>
      <c r="D286" s="30" t="s">
        <v>25</v>
      </c>
      <c r="E286" s="27"/>
      <c r="F286" s="31">
        <v>2925.3330000000001</v>
      </c>
      <c r="G286" s="22">
        <f t="shared" si="8"/>
        <v>0</v>
      </c>
      <c r="H286" s="25"/>
      <c r="I286" s="159">
        <f t="shared" si="9"/>
        <v>0</v>
      </c>
      <c r="J286" s="26"/>
      <c r="K286" s="27"/>
    </row>
    <row r="287" spans="1:11" x14ac:dyDescent="0.25">
      <c r="A287" s="28" t="s">
        <v>557</v>
      </c>
      <c r="B287" s="29" t="s">
        <v>604</v>
      </c>
      <c r="C287" s="37" t="s">
        <v>605</v>
      </c>
      <c r="D287" s="30" t="s">
        <v>25</v>
      </c>
      <c r="E287" s="27"/>
      <c r="F287" s="56"/>
      <c r="G287" s="22">
        <f t="shared" si="8"/>
        <v>0</v>
      </c>
      <c r="H287" s="25"/>
      <c r="I287" s="159">
        <f t="shared" si="9"/>
        <v>0</v>
      </c>
      <c r="J287" s="26"/>
      <c r="K287" s="27"/>
    </row>
    <row r="288" spans="1:11" x14ac:dyDescent="0.25">
      <c r="A288" s="28" t="s">
        <v>557</v>
      </c>
      <c r="B288" s="29" t="s">
        <v>606</v>
      </c>
      <c r="C288" s="37" t="s">
        <v>607</v>
      </c>
      <c r="D288" s="30" t="s">
        <v>25</v>
      </c>
      <c r="E288" s="27"/>
      <c r="F288" s="56"/>
      <c r="G288" s="22">
        <f t="shared" si="8"/>
        <v>0</v>
      </c>
      <c r="H288" s="25"/>
      <c r="I288" s="159">
        <f t="shared" si="9"/>
        <v>0</v>
      </c>
      <c r="J288" s="26"/>
      <c r="K288" s="27"/>
    </row>
    <row r="289" spans="1:11" x14ac:dyDescent="0.25">
      <c r="A289" s="28" t="s">
        <v>557</v>
      </c>
      <c r="B289" s="29" t="s">
        <v>608</v>
      </c>
      <c r="C289" s="37" t="s">
        <v>609</v>
      </c>
      <c r="D289" s="30" t="s">
        <v>25</v>
      </c>
      <c r="E289" s="27"/>
      <c r="F289" s="56"/>
      <c r="G289" s="22">
        <f t="shared" si="8"/>
        <v>0</v>
      </c>
      <c r="H289" s="25"/>
      <c r="I289" s="159">
        <f t="shared" si="9"/>
        <v>0</v>
      </c>
      <c r="J289" s="26"/>
      <c r="K289" s="27"/>
    </row>
    <row r="290" spans="1:11" x14ac:dyDescent="0.25">
      <c r="A290" s="28" t="s">
        <v>610</v>
      </c>
      <c r="B290" s="71" t="s">
        <v>611</v>
      </c>
      <c r="C290" s="72" t="s">
        <v>612</v>
      </c>
      <c r="D290" s="73" t="s">
        <v>44</v>
      </c>
      <c r="E290" s="32">
        <v>1216</v>
      </c>
      <c r="F290" s="31">
        <v>311</v>
      </c>
      <c r="G290" s="22">
        <f t="shared" si="8"/>
        <v>378176</v>
      </c>
      <c r="H290" s="25"/>
      <c r="I290" s="159">
        <f t="shared" si="9"/>
        <v>1216</v>
      </c>
      <c r="J290" s="26" t="s">
        <v>613</v>
      </c>
      <c r="K290" s="27"/>
    </row>
    <row r="291" spans="1:11" x14ac:dyDescent="0.25">
      <c r="A291" s="28" t="s">
        <v>610</v>
      </c>
      <c r="B291" s="29" t="s">
        <v>614</v>
      </c>
      <c r="C291" s="37" t="s">
        <v>615</v>
      </c>
      <c r="D291" s="73" t="s">
        <v>44</v>
      </c>
      <c r="E291" s="32"/>
      <c r="F291" s="31">
        <v>370</v>
      </c>
      <c r="G291" s="22">
        <f t="shared" si="8"/>
        <v>0</v>
      </c>
      <c r="H291" s="25"/>
      <c r="I291" s="159">
        <f t="shared" si="9"/>
        <v>0</v>
      </c>
      <c r="J291" s="26" t="s">
        <v>616</v>
      </c>
      <c r="K291" s="27"/>
    </row>
    <row r="292" spans="1:11" x14ac:dyDescent="0.25">
      <c r="A292" s="28" t="s">
        <v>617</v>
      </c>
      <c r="B292" s="74" t="s">
        <v>618</v>
      </c>
      <c r="C292" s="75" t="s">
        <v>619</v>
      </c>
      <c r="D292" s="30" t="s">
        <v>25</v>
      </c>
      <c r="E292" s="27">
        <v>1.6</v>
      </c>
      <c r="F292" s="31">
        <v>3100</v>
      </c>
      <c r="G292" s="22">
        <f t="shared" si="8"/>
        <v>4960</v>
      </c>
      <c r="H292" s="25"/>
      <c r="I292" s="159">
        <f t="shared" si="9"/>
        <v>1.6</v>
      </c>
      <c r="J292" s="26"/>
      <c r="K292" s="27"/>
    </row>
    <row r="293" spans="1:11" x14ac:dyDescent="0.25">
      <c r="A293" s="28" t="s">
        <v>617</v>
      </c>
      <c r="B293" s="29" t="s">
        <v>620</v>
      </c>
      <c r="C293" s="37" t="s">
        <v>621</v>
      </c>
      <c r="D293" s="30" t="s">
        <v>25</v>
      </c>
      <c r="E293" s="27">
        <v>8</v>
      </c>
      <c r="F293" s="31">
        <v>3000</v>
      </c>
      <c r="G293" s="22">
        <f t="shared" si="8"/>
        <v>24000</v>
      </c>
      <c r="H293" s="25"/>
      <c r="I293" s="159">
        <f t="shared" si="9"/>
        <v>8</v>
      </c>
      <c r="J293" s="26"/>
      <c r="K293" s="27"/>
    </row>
    <row r="294" spans="1:11" x14ac:dyDescent="0.25">
      <c r="A294" s="28" t="s">
        <v>617</v>
      </c>
      <c r="B294" s="29" t="s">
        <v>622</v>
      </c>
      <c r="C294" s="37" t="s">
        <v>623</v>
      </c>
      <c r="D294" s="73" t="s">
        <v>624</v>
      </c>
      <c r="E294" s="27">
        <v>56</v>
      </c>
      <c r="F294" s="31">
        <v>548.6</v>
      </c>
      <c r="G294" s="22">
        <f t="shared" si="8"/>
        <v>30721.600000000002</v>
      </c>
      <c r="H294" s="25"/>
      <c r="I294" s="159">
        <f t="shared" si="9"/>
        <v>56</v>
      </c>
      <c r="J294" s="26" t="s">
        <v>50</v>
      </c>
      <c r="K294" s="27"/>
    </row>
    <row r="295" spans="1:11" x14ac:dyDescent="0.25">
      <c r="A295" s="28" t="s">
        <v>617</v>
      </c>
      <c r="B295" s="29" t="s">
        <v>625</v>
      </c>
      <c r="C295" s="37" t="s">
        <v>626</v>
      </c>
      <c r="D295" s="30" t="s">
        <v>25</v>
      </c>
      <c r="E295" s="27">
        <v>9</v>
      </c>
      <c r="F295" s="31">
        <v>2649</v>
      </c>
      <c r="G295" s="22">
        <f t="shared" si="8"/>
        <v>23841</v>
      </c>
      <c r="H295" s="25"/>
      <c r="I295" s="159">
        <f t="shared" si="9"/>
        <v>9</v>
      </c>
      <c r="J295" s="26" t="s">
        <v>616</v>
      </c>
      <c r="K295" s="27"/>
    </row>
    <row r="296" spans="1:11" x14ac:dyDescent="0.25">
      <c r="A296" s="28" t="s">
        <v>627</v>
      </c>
      <c r="B296" s="76" t="s">
        <v>628</v>
      </c>
      <c r="C296" s="77" t="s">
        <v>629</v>
      </c>
      <c r="D296" s="30" t="s">
        <v>25</v>
      </c>
      <c r="E296" s="27">
        <v>37</v>
      </c>
      <c r="F296" s="31">
        <v>1459.5260000000001</v>
      </c>
      <c r="G296" s="22">
        <f t="shared" si="8"/>
        <v>54002.462</v>
      </c>
      <c r="H296" s="25"/>
      <c r="I296" s="159">
        <f t="shared" si="9"/>
        <v>37</v>
      </c>
      <c r="J296" s="26" t="s">
        <v>630</v>
      </c>
      <c r="K296" s="27"/>
    </row>
    <row r="297" spans="1:11" x14ac:dyDescent="0.25">
      <c r="A297" s="28" t="s">
        <v>627</v>
      </c>
      <c r="B297" s="29" t="s">
        <v>631</v>
      </c>
      <c r="C297" s="37" t="s">
        <v>632</v>
      </c>
      <c r="D297" s="30" t="s">
        <v>25</v>
      </c>
      <c r="E297" s="27"/>
      <c r="F297" s="56"/>
      <c r="G297" s="22">
        <f t="shared" si="8"/>
        <v>0</v>
      </c>
      <c r="H297" s="25"/>
      <c r="I297" s="159">
        <f t="shared" si="9"/>
        <v>0</v>
      </c>
      <c r="J297" s="26" t="s">
        <v>630</v>
      </c>
      <c r="K297" s="27"/>
    </row>
    <row r="298" spans="1:11" x14ac:dyDescent="0.25">
      <c r="A298" s="28" t="s">
        <v>627</v>
      </c>
      <c r="B298" s="29" t="s">
        <v>219</v>
      </c>
      <c r="C298" s="37" t="s">
        <v>633</v>
      </c>
      <c r="D298" s="30" t="s">
        <v>25</v>
      </c>
      <c r="E298" s="27">
        <v>38</v>
      </c>
      <c r="F298" s="31">
        <v>1167</v>
      </c>
      <c r="G298" s="22">
        <f t="shared" si="8"/>
        <v>44346</v>
      </c>
      <c r="H298" s="25"/>
      <c r="I298" s="159">
        <f t="shared" si="9"/>
        <v>38</v>
      </c>
      <c r="J298" s="26" t="s">
        <v>630</v>
      </c>
      <c r="K298" s="27"/>
    </row>
    <row r="299" spans="1:11" x14ac:dyDescent="0.25">
      <c r="A299" s="28" t="s">
        <v>627</v>
      </c>
      <c r="B299" s="29" t="s">
        <v>634</v>
      </c>
      <c r="C299" s="37" t="s">
        <v>635</v>
      </c>
      <c r="D299" s="30" t="s">
        <v>25</v>
      </c>
      <c r="E299" s="27">
        <v>18</v>
      </c>
      <c r="F299" s="31">
        <v>1050</v>
      </c>
      <c r="G299" s="22">
        <f t="shared" si="8"/>
        <v>18900</v>
      </c>
      <c r="H299" s="25"/>
      <c r="I299" s="159">
        <f t="shared" si="9"/>
        <v>18</v>
      </c>
      <c r="J299" s="26" t="s">
        <v>630</v>
      </c>
      <c r="K299" s="27"/>
    </row>
    <row r="300" spans="1:11" x14ac:dyDescent="0.25">
      <c r="A300" s="28" t="s">
        <v>627</v>
      </c>
      <c r="B300" s="29" t="s">
        <v>296</v>
      </c>
      <c r="C300" s="37" t="s">
        <v>636</v>
      </c>
      <c r="D300" s="30" t="s">
        <v>25</v>
      </c>
      <c r="E300" s="27">
        <v>40</v>
      </c>
      <c r="F300" s="31">
        <v>1176.4704999999999</v>
      </c>
      <c r="G300" s="22">
        <f t="shared" si="8"/>
        <v>47058.819999999992</v>
      </c>
      <c r="H300" s="25"/>
      <c r="I300" s="159">
        <f t="shared" si="9"/>
        <v>40</v>
      </c>
      <c r="J300" s="26" t="s">
        <v>637</v>
      </c>
      <c r="K300" s="27"/>
    </row>
    <row r="301" spans="1:11" x14ac:dyDescent="0.25">
      <c r="A301" s="28" t="s">
        <v>627</v>
      </c>
      <c r="B301" s="29" t="s">
        <v>638</v>
      </c>
      <c r="C301" s="37" t="s">
        <v>639</v>
      </c>
      <c r="D301" s="30" t="s">
        <v>25</v>
      </c>
      <c r="E301" s="27"/>
      <c r="F301" s="31">
        <v>2521.1</v>
      </c>
      <c r="G301" s="22">
        <f t="shared" si="8"/>
        <v>0</v>
      </c>
      <c r="H301" s="25"/>
      <c r="I301" s="159">
        <f t="shared" si="9"/>
        <v>0</v>
      </c>
      <c r="J301" s="26"/>
      <c r="K301" s="27"/>
    </row>
    <row r="302" spans="1:11" x14ac:dyDescent="0.25">
      <c r="A302" s="28" t="s">
        <v>627</v>
      </c>
      <c r="B302" s="29" t="s">
        <v>229</v>
      </c>
      <c r="C302" s="37" t="s">
        <v>640</v>
      </c>
      <c r="D302" s="30" t="s">
        <v>25</v>
      </c>
      <c r="E302" s="27"/>
      <c r="F302" s="31">
        <v>2100.8000000000002</v>
      </c>
      <c r="G302" s="22">
        <f t="shared" si="8"/>
        <v>0</v>
      </c>
      <c r="H302" s="25"/>
      <c r="I302" s="159">
        <f t="shared" si="9"/>
        <v>0</v>
      </c>
      <c r="J302" s="26"/>
      <c r="K302" s="27"/>
    </row>
    <row r="303" spans="1:11" x14ac:dyDescent="0.25">
      <c r="A303" s="28" t="s">
        <v>627</v>
      </c>
      <c r="B303" s="29" t="s">
        <v>235</v>
      </c>
      <c r="C303" s="37" t="s">
        <v>641</v>
      </c>
      <c r="D303" s="30" t="s">
        <v>25</v>
      </c>
      <c r="E303" s="27"/>
      <c r="F303" s="56"/>
      <c r="G303" s="22">
        <f t="shared" si="8"/>
        <v>0</v>
      </c>
      <c r="H303" s="25"/>
      <c r="I303" s="159">
        <f t="shared" si="9"/>
        <v>0</v>
      </c>
      <c r="J303" s="26"/>
      <c r="K303" s="27"/>
    </row>
    <row r="304" spans="1:11" x14ac:dyDescent="0.25">
      <c r="A304" s="28" t="s">
        <v>627</v>
      </c>
      <c r="B304" s="29" t="s">
        <v>642</v>
      </c>
      <c r="C304" s="37" t="s">
        <v>643</v>
      </c>
      <c r="D304" s="30" t="s">
        <v>25</v>
      </c>
      <c r="E304" s="27"/>
      <c r="F304" s="31">
        <v>672</v>
      </c>
      <c r="G304" s="22">
        <f t="shared" si="8"/>
        <v>0</v>
      </c>
      <c r="H304" s="25"/>
      <c r="I304" s="159">
        <f t="shared" si="9"/>
        <v>0</v>
      </c>
      <c r="J304" s="26"/>
      <c r="K304" s="27"/>
    </row>
    <row r="305" spans="1:11" x14ac:dyDescent="0.25">
      <c r="A305" s="28" t="s">
        <v>627</v>
      </c>
      <c r="B305" s="29" t="s">
        <v>233</v>
      </c>
      <c r="C305" s="37" t="s">
        <v>644</v>
      </c>
      <c r="D305" s="30" t="s">
        <v>25</v>
      </c>
      <c r="E305" s="27"/>
      <c r="F305" s="31">
        <v>2184.9</v>
      </c>
      <c r="G305" s="22">
        <f t="shared" si="8"/>
        <v>0</v>
      </c>
      <c r="H305" s="25"/>
      <c r="I305" s="159">
        <f t="shared" si="9"/>
        <v>0</v>
      </c>
      <c r="J305" s="26"/>
      <c r="K305" s="27"/>
    </row>
    <row r="306" spans="1:11" x14ac:dyDescent="0.25">
      <c r="A306" s="28" t="s">
        <v>627</v>
      </c>
      <c r="B306" s="29" t="s">
        <v>645</v>
      </c>
      <c r="C306" s="37" t="s">
        <v>646</v>
      </c>
      <c r="D306" s="30" t="s">
        <v>44</v>
      </c>
      <c r="E306" s="27"/>
      <c r="F306" s="31">
        <v>2941</v>
      </c>
      <c r="G306" s="22">
        <f t="shared" si="8"/>
        <v>0</v>
      </c>
      <c r="H306" s="25"/>
      <c r="I306" s="159">
        <f t="shared" si="9"/>
        <v>0</v>
      </c>
      <c r="J306" s="26"/>
      <c r="K306" s="27"/>
    </row>
    <row r="307" spans="1:11" x14ac:dyDescent="0.25">
      <c r="A307" s="28" t="s">
        <v>647</v>
      </c>
      <c r="B307" s="60" t="s">
        <v>648</v>
      </c>
      <c r="C307" s="61" t="s">
        <v>649</v>
      </c>
      <c r="D307" s="30" t="s">
        <v>44</v>
      </c>
      <c r="E307" s="32">
        <v>1482</v>
      </c>
      <c r="F307" s="31">
        <v>159</v>
      </c>
      <c r="G307" s="22">
        <f t="shared" si="8"/>
        <v>235638</v>
      </c>
      <c r="H307" s="25"/>
      <c r="I307" s="159">
        <f t="shared" si="9"/>
        <v>1482</v>
      </c>
      <c r="J307" s="26" t="s">
        <v>418</v>
      </c>
      <c r="K307" s="27"/>
    </row>
    <row r="308" spans="1:11" x14ac:dyDescent="0.25">
      <c r="A308" s="28" t="s">
        <v>647</v>
      </c>
      <c r="B308" s="29" t="s">
        <v>650</v>
      </c>
      <c r="C308" s="37" t="s">
        <v>651</v>
      </c>
      <c r="D308" s="73" t="s">
        <v>44</v>
      </c>
      <c r="E308" s="78">
        <v>652</v>
      </c>
      <c r="F308" s="79">
        <v>554</v>
      </c>
      <c r="G308" s="22">
        <f t="shared" si="8"/>
        <v>361208</v>
      </c>
      <c r="H308" s="25"/>
      <c r="I308" s="159">
        <f t="shared" si="9"/>
        <v>652</v>
      </c>
      <c r="J308" s="26" t="s">
        <v>652</v>
      </c>
      <c r="K308" s="27"/>
    </row>
    <row r="309" spans="1:11" x14ac:dyDescent="0.25">
      <c r="A309" s="28" t="s">
        <v>653</v>
      </c>
      <c r="B309" s="80" t="s">
        <v>654</v>
      </c>
      <c r="C309" s="81" t="s">
        <v>655</v>
      </c>
      <c r="D309" s="73" t="s">
        <v>44</v>
      </c>
      <c r="E309" s="32">
        <v>1800</v>
      </c>
      <c r="F309" s="31">
        <v>144</v>
      </c>
      <c r="G309" s="22">
        <f t="shared" si="8"/>
        <v>259200</v>
      </c>
      <c r="H309" s="25"/>
      <c r="I309" s="159">
        <f t="shared" si="9"/>
        <v>1800</v>
      </c>
      <c r="J309" s="26" t="s">
        <v>656</v>
      </c>
      <c r="K309" s="27"/>
    </row>
    <row r="310" spans="1:11" x14ac:dyDescent="0.25">
      <c r="A310" s="28" t="s">
        <v>657</v>
      </c>
      <c r="B310" s="29" t="s">
        <v>658</v>
      </c>
      <c r="C310" s="37" t="s">
        <v>659</v>
      </c>
      <c r="D310" s="30" t="s">
        <v>17</v>
      </c>
      <c r="E310" s="27">
        <v>32</v>
      </c>
      <c r="F310" s="31">
        <v>3527</v>
      </c>
      <c r="G310" s="22">
        <f t="shared" si="8"/>
        <v>112864</v>
      </c>
      <c r="H310" s="25"/>
      <c r="I310" s="159">
        <f t="shared" si="9"/>
        <v>32</v>
      </c>
      <c r="J310" s="26"/>
      <c r="K310" s="27"/>
    </row>
    <row r="311" spans="1:11" x14ac:dyDescent="0.25">
      <c r="A311" s="28" t="s">
        <v>657</v>
      </c>
      <c r="B311" s="29" t="s">
        <v>660</v>
      </c>
      <c r="C311" s="37" t="s">
        <v>661</v>
      </c>
      <c r="D311" s="30" t="s">
        <v>17</v>
      </c>
      <c r="E311" s="27"/>
      <c r="F311" s="31">
        <v>3804.5</v>
      </c>
      <c r="G311" s="22">
        <f t="shared" si="8"/>
        <v>0</v>
      </c>
      <c r="H311" s="25"/>
      <c r="I311" s="159">
        <f t="shared" si="9"/>
        <v>0</v>
      </c>
      <c r="J311" s="26"/>
      <c r="K311" s="27"/>
    </row>
    <row r="312" spans="1:11" x14ac:dyDescent="0.25">
      <c r="A312" s="28" t="s">
        <v>662</v>
      </c>
      <c r="B312" s="180" t="s">
        <v>663</v>
      </c>
      <c r="C312" s="181" t="s">
        <v>664</v>
      </c>
      <c r="D312" s="30" t="s">
        <v>25</v>
      </c>
      <c r="E312" s="27">
        <v>218</v>
      </c>
      <c r="F312" s="42">
        <v>5368</v>
      </c>
      <c r="G312" s="22">
        <f t="shared" si="8"/>
        <v>1170224</v>
      </c>
      <c r="H312" s="25"/>
      <c r="I312" s="159">
        <f t="shared" si="9"/>
        <v>218</v>
      </c>
      <c r="J312" s="26"/>
      <c r="K312" s="27"/>
    </row>
    <row r="313" spans="1:11" x14ac:dyDescent="0.25">
      <c r="A313" s="28" t="s">
        <v>665</v>
      </c>
      <c r="B313" s="29" t="s">
        <v>666</v>
      </c>
      <c r="C313" s="37" t="s">
        <v>667</v>
      </c>
      <c r="D313" s="30" t="s">
        <v>25</v>
      </c>
      <c r="E313" s="27">
        <v>70.7</v>
      </c>
      <c r="F313" s="42">
        <v>4950</v>
      </c>
      <c r="G313" s="22">
        <f t="shared" si="8"/>
        <v>349965</v>
      </c>
      <c r="H313" s="25"/>
      <c r="I313" s="159">
        <f t="shared" si="9"/>
        <v>70.7</v>
      </c>
      <c r="J313" s="26" t="s">
        <v>418</v>
      </c>
      <c r="K313" s="27"/>
    </row>
    <row r="314" spans="1:11" x14ac:dyDescent="0.25">
      <c r="A314" s="28" t="s">
        <v>665</v>
      </c>
      <c r="B314" s="29" t="s">
        <v>668</v>
      </c>
      <c r="C314" s="37" t="s">
        <v>669</v>
      </c>
      <c r="D314" s="30" t="s">
        <v>25</v>
      </c>
      <c r="E314" s="27"/>
      <c r="F314" s="56"/>
      <c r="G314" s="22">
        <f t="shared" si="8"/>
        <v>0</v>
      </c>
      <c r="H314" s="25"/>
      <c r="I314" s="159">
        <f t="shared" si="9"/>
        <v>0</v>
      </c>
      <c r="J314" s="26"/>
      <c r="K314" s="27"/>
    </row>
    <row r="315" spans="1:11" x14ac:dyDescent="0.25">
      <c r="A315" s="28" t="s">
        <v>670</v>
      </c>
      <c r="B315" s="29" t="s">
        <v>671</v>
      </c>
      <c r="C315" s="37" t="s">
        <v>672</v>
      </c>
      <c r="D315" s="30" t="s">
        <v>44</v>
      </c>
      <c r="E315" s="32">
        <v>3009</v>
      </c>
      <c r="F315" s="31">
        <v>145</v>
      </c>
      <c r="G315" s="22">
        <f t="shared" si="8"/>
        <v>436305</v>
      </c>
      <c r="H315" s="25"/>
      <c r="I315" s="159">
        <f t="shared" si="9"/>
        <v>3009</v>
      </c>
      <c r="J315" s="26" t="s">
        <v>673</v>
      </c>
      <c r="K315" s="27"/>
    </row>
    <row r="316" spans="1:11" x14ac:dyDescent="0.25">
      <c r="A316" s="28" t="s">
        <v>670</v>
      </c>
      <c r="B316" s="29" t="s">
        <v>674</v>
      </c>
      <c r="C316" s="37" t="s">
        <v>675</v>
      </c>
      <c r="D316" s="30" t="s">
        <v>44</v>
      </c>
      <c r="E316" s="27">
        <v>4</v>
      </c>
      <c r="F316" s="31">
        <v>5440</v>
      </c>
      <c r="G316" s="22">
        <f t="shared" si="8"/>
        <v>21760</v>
      </c>
      <c r="H316" s="25"/>
      <c r="I316" s="159">
        <f t="shared" si="9"/>
        <v>4</v>
      </c>
      <c r="J316" s="26"/>
      <c r="K316" s="27"/>
    </row>
    <row r="317" spans="1:11" x14ac:dyDescent="0.25">
      <c r="A317" s="28" t="s">
        <v>676</v>
      </c>
      <c r="B317" s="82" t="s">
        <v>677</v>
      </c>
      <c r="C317" s="83" t="s">
        <v>678</v>
      </c>
      <c r="D317" s="30" t="s">
        <v>17</v>
      </c>
      <c r="E317" s="27">
        <v>6</v>
      </c>
      <c r="F317" s="31">
        <v>1727.97</v>
      </c>
      <c r="G317" s="22">
        <f t="shared" si="8"/>
        <v>10367.82</v>
      </c>
      <c r="H317" s="25"/>
      <c r="I317" s="159">
        <f t="shared" si="9"/>
        <v>6</v>
      </c>
      <c r="J317" s="26" t="s">
        <v>679</v>
      </c>
      <c r="K317" s="27"/>
    </row>
    <row r="318" spans="1:11" x14ac:dyDescent="0.25">
      <c r="A318" s="28" t="s">
        <v>676</v>
      </c>
      <c r="B318" s="29" t="s">
        <v>680</v>
      </c>
      <c r="C318" s="37" t="s">
        <v>681</v>
      </c>
      <c r="D318" s="30" t="s">
        <v>17</v>
      </c>
      <c r="E318" s="27"/>
      <c r="F318" s="31">
        <v>1709.895</v>
      </c>
      <c r="G318" s="22">
        <f t="shared" si="8"/>
        <v>0</v>
      </c>
      <c r="H318" s="25"/>
      <c r="I318" s="159">
        <f t="shared" si="9"/>
        <v>0</v>
      </c>
      <c r="J318" s="26" t="s">
        <v>679</v>
      </c>
      <c r="K318" s="27"/>
    </row>
    <row r="319" spans="1:11" x14ac:dyDescent="0.25">
      <c r="A319" s="28" t="s">
        <v>682</v>
      </c>
      <c r="B319" s="84" t="s">
        <v>683</v>
      </c>
      <c r="C319" s="85" t="s">
        <v>684</v>
      </c>
      <c r="D319" s="30" t="s">
        <v>44</v>
      </c>
      <c r="E319" s="27">
        <v>56</v>
      </c>
      <c r="F319" s="31">
        <v>316.666</v>
      </c>
      <c r="G319" s="22">
        <f t="shared" si="8"/>
        <v>17733.295999999998</v>
      </c>
      <c r="H319" s="25"/>
      <c r="I319" s="159">
        <f t="shared" si="9"/>
        <v>56</v>
      </c>
      <c r="J319" s="26"/>
      <c r="K319" s="27"/>
    </row>
    <row r="320" spans="1:11" x14ac:dyDescent="0.25">
      <c r="A320" s="28" t="s">
        <v>682</v>
      </c>
      <c r="B320" s="29" t="s">
        <v>685</v>
      </c>
      <c r="C320" s="37" t="s">
        <v>686</v>
      </c>
      <c r="D320" s="30" t="s">
        <v>44</v>
      </c>
      <c r="E320" s="27">
        <v>58</v>
      </c>
      <c r="F320" s="31">
        <v>316.666</v>
      </c>
      <c r="G320" s="22">
        <f t="shared" si="8"/>
        <v>18366.628000000001</v>
      </c>
      <c r="H320" s="25"/>
      <c r="I320" s="159">
        <f t="shared" si="9"/>
        <v>58</v>
      </c>
      <c r="J320" s="26"/>
      <c r="K320" s="27"/>
    </row>
    <row r="321" spans="1:11" x14ac:dyDescent="0.25">
      <c r="A321" s="28" t="s">
        <v>682</v>
      </c>
      <c r="B321" s="29" t="s">
        <v>687</v>
      </c>
      <c r="C321" s="37" t="s">
        <v>688</v>
      </c>
      <c r="D321" s="30" t="s">
        <v>44</v>
      </c>
      <c r="E321" s="27">
        <v>9</v>
      </c>
      <c r="F321" s="31">
        <v>466.66</v>
      </c>
      <c r="G321" s="22">
        <f t="shared" si="8"/>
        <v>4199.9400000000005</v>
      </c>
      <c r="H321" s="25"/>
      <c r="I321" s="159">
        <f t="shared" si="9"/>
        <v>9</v>
      </c>
      <c r="J321" s="26"/>
      <c r="K321" s="27"/>
    </row>
    <row r="322" spans="1:11" x14ac:dyDescent="0.25">
      <c r="A322" s="28" t="s">
        <v>682</v>
      </c>
      <c r="B322" s="29" t="s">
        <v>689</v>
      </c>
      <c r="C322" s="37" t="s">
        <v>690</v>
      </c>
      <c r="D322" s="30" t="s">
        <v>44</v>
      </c>
      <c r="E322" s="27">
        <v>54</v>
      </c>
      <c r="F322" s="31">
        <v>466.66</v>
      </c>
      <c r="G322" s="22">
        <f t="shared" si="8"/>
        <v>25199.640000000003</v>
      </c>
      <c r="H322" s="25"/>
      <c r="I322" s="159">
        <f t="shared" si="9"/>
        <v>54</v>
      </c>
      <c r="J322" s="26"/>
      <c r="K322" s="27"/>
    </row>
    <row r="323" spans="1:11" x14ac:dyDescent="0.25">
      <c r="A323" s="171"/>
      <c r="B323" s="200" t="s">
        <v>691</v>
      </c>
      <c r="C323" s="201"/>
      <c r="D323" s="201"/>
      <c r="E323" s="202"/>
      <c r="F323" s="172"/>
      <c r="G323" s="22">
        <f t="shared" si="8"/>
        <v>0</v>
      </c>
      <c r="H323" s="25"/>
      <c r="I323" s="159">
        <f t="shared" si="9"/>
        <v>0</v>
      </c>
      <c r="J323" s="26"/>
      <c r="K323" s="27"/>
    </row>
    <row r="324" spans="1:11" x14ac:dyDescent="0.25">
      <c r="A324" s="28" t="s">
        <v>692</v>
      </c>
      <c r="B324" s="29" t="s">
        <v>693</v>
      </c>
      <c r="C324" s="37" t="s">
        <v>694</v>
      </c>
      <c r="D324" s="30" t="s">
        <v>44</v>
      </c>
      <c r="E324" s="32">
        <v>2792</v>
      </c>
      <c r="F324" s="31">
        <v>561.48400000000004</v>
      </c>
      <c r="G324" s="22">
        <f t="shared" si="8"/>
        <v>1567663.3280000002</v>
      </c>
      <c r="H324" s="25"/>
      <c r="I324" s="159">
        <f t="shared" si="9"/>
        <v>2792</v>
      </c>
      <c r="J324" s="26"/>
      <c r="K324" s="27"/>
    </row>
    <row r="325" spans="1:11" x14ac:dyDescent="0.25">
      <c r="A325" s="28" t="s">
        <v>692</v>
      </c>
      <c r="B325" s="29" t="s">
        <v>695</v>
      </c>
      <c r="C325" s="37" t="s">
        <v>696</v>
      </c>
      <c r="D325" s="30" t="s">
        <v>44</v>
      </c>
      <c r="E325" s="27">
        <v>339</v>
      </c>
      <c r="F325" s="31">
        <v>556.30999999999995</v>
      </c>
      <c r="G325" s="22">
        <f t="shared" si="8"/>
        <v>188589.08999999997</v>
      </c>
      <c r="H325" s="25"/>
      <c r="I325" s="159">
        <f t="shared" si="9"/>
        <v>339</v>
      </c>
      <c r="J325" s="26"/>
      <c r="K325" s="27"/>
    </row>
    <row r="326" spans="1:11" x14ac:dyDescent="0.25">
      <c r="A326" s="28" t="s">
        <v>692</v>
      </c>
      <c r="B326" s="29" t="s">
        <v>697</v>
      </c>
      <c r="C326" s="37" t="s">
        <v>698</v>
      </c>
      <c r="D326" s="30" t="s">
        <v>44</v>
      </c>
      <c r="E326" s="27">
        <v>274</v>
      </c>
      <c r="F326" s="31">
        <v>561.48</v>
      </c>
      <c r="G326" s="22">
        <f t="shared" si="8"/>
        <v>153845.52000000002</v>
      </c>
      <c r="H326" s="25"/>
      <c r="I326" s="159">
        <f t="shared" si="9"/>
        <v>274</v>
      </c>
      <c r="J326" s="26"/>
      <c r="K326" s="27"/>
    </row>
    <row r="327" spans="1:11" x14ac:dyDescent="0.25">
      <c r="A327" s="28" t="s">
        <v>692</v>
      </c>
      <c r="B327" s="29" t="s">
        <v>699</v>
      </c>
      <c r="C327" s="37" t="s">
        <v>700</v>
      </c>
      <c r="D327" s="30" t="s">
        <v>44</v>
      </c>
      <c r="E327" s="27">
        <v>323</v>
      </c>
      <c r="F327" s="31">
        <v>556.30999999999995</v>
      </c>
      <c r="G327" s="22">
        <f t="shared" si="8"/>
        <v>179688.12999999998</v>
      </c>
      <c r="H327" s="25"/>
      <c r="I327" s="159">
        <f t="shared" si="9"/>
        <v>323</v>
      </c>
      <c r="J327" s="26"/>
      <c r="K327" s="27"/>
    </row>
    <row r="328" spans="1:11" x14ac:dyDescent="0.25">
      <c r="A328" s="28" t="s">
        <v>701</v>
      </c>
      <c r="B328" s="84" t="s">
        <v>702</v>
      </c>
      <c r="C328" s="85" t="s">
        <v>703</v>
      </c>
      <c r="D328" s="30" t="s">
        <v>44</v>
      </c>
      <c r="E328" s="27">
        <v>8</v>
      </c>
      <c r="F328" s="31">
        <v>1100</v>
      </c>
      <c r="G328" s="22">
        <f t="shared" si="8"/>
        <v>8800</v>
      </c>
      <c r="H328" s="25"/>
      <c r="I328" s="159">
        <f t="shared" si="9"/>
        <v>8</v>
      </c>
      <c r="J328" s="26" t="s">
        <v>50</v>
      </c>
      <c r="K328" s="27"/>
    </row>
    <row r="329" spans="1:11" x14ac:dyDescent="0.25">
      <c r="A329" s="28" t="s">
        <v>704</v>
      </c>
      <c r="B329" s="87" t="s">
        <v>705</v>
      </c>
      <c r="C329" s="88" t="s">
        <v>706</v>
      </c>
      <c r="D329" s="30" t="s">
        <v>44</v>
      </c>
      <c r="E329" s="27">
        <v>354</v>
      </c>
      <c r="F329" s="31">
        <v>535.67999999999995</v>
      </c>
      <c r="G329" s="22">
        <f t="shared" si="8"/>
        <v>189630.71999999997</v>
      </c>
      <c r="H329" s="25"/>
      <c r="I329" s="159">
        <f t="shared" si="9"/>
        <v>354</v>
      </c>
      <c r="J329" s="26"/>
      <c r="K329" s="27"/>
    </row>
    <row r="330" spans="1:11" x14ac:dyDescent="0.25">
      <c r="A330" s="28" t="s">
        <v>704</v>
      </c>
      <c r="B330" s="29" t="s">
        <v>707</v>
      </c>
      <c r="C330" s="37" t="s">
        <v>708</v>
      </c>
      <c r="D330" s="30" t="s">
        <v>44</v>
      </c>
      <c r="E330" s="32">
        <v>605</v>
      </c>
      <c r="F330" s="31">
        <v>187.26666666666665</v>
      </c>
      <c r="G330" s="22">
        <f>E330*F330</f>
        <v>113296.33333333333</v>
      </c>
      <c r="H330" s="25"/>
      <c r="I330" s="182">
        <f>E330-H330</f>
        <v>605</v>
      </c>
      <c r="J330" s="26"/>
      <c r="K330" s="27"/>
    </row>
    <row r="331" spans="1:11" x14ac:dyDescent="0.25">
      <c r="A331" s="28" t="s">
        <v>709</v>
      </c>
      <c r="B331" s="89" t="s">
        <v>710</v>
      </c>
      <c r="C331" s="90" t="s">
        <v>711</v>
      </c>
      <c r="D331" s="30" t="s">
        <v>44</v>
      </c>
      <c r="E331" s="32">
        <v>509</v>
      </c>
      <c r="F331" s="31">
        <v>1115.3</v>
      </c>
      <c r="G331" s="22">
        <f>E331*F331</f>
        <v>567687.69999999995</v>
      </c>
      <c r="H331" s="25"/>
      <c r="I331" s="182">
        <f>E331-H331</f>
        <v>509</v>
      </c>
      <c r="J331" s="26"/>
      <c r="K331" s="27"/>
    </row>
    <row r="332" spans="1:11" x14ac:dyDescent="0.25">
      <c r="A332" s="28" t="s">
        <v>709</v>
      </c>
      <c r="B332" s="29" t="s">
        <v>712</v>
      </c>
      <c r="C332" s="37" t="s">
        <v>713</v>
      </c>
      <c r="D332" s="30" t="s">
        <v>44</v>
      </c>
      <c r="E332" s="32"/>
      <c r="F332" s="31">
        <v>2212</v>
      </c>
      <c r="G332" s="22">
        <f t="shared" ref="G332:G395" si="10">E332*F332</f>
        <v>0</v>
      </c>
      <c r="H332" s="25"/>
      <c r="I332" s="159">
        <f t="shared" si="9"/>
        <v>0</v>
      </c>
      <c r="J332" s="26"/>
      <c r="K332" s="27"/>
    </row>
    <row r="333" spans="1:11" x14ac:dyDescent="0.25">
      <c r="A333" s="28" t="s">
        <v>709</v>
      </c>
      <c r="B333" s="29" t="s">
        <v>714</v>
      </c>
      <c r="C333" s="37" t="s">
        <v>715</v>
      </c>
      <c r="D333" s="30" t="s">
        <v>44</v>
      </c>
      <c r="E333" s="27"/>
      <c r="F333" s="56"/>
      <c r="G333" s="22">
        <f t="shared" si="10"/>
        <v>0</v>
      </c>
      <c r="H333" s="25"/>
      <c r="I333" s="159">
        <f t="shared" si="9"/>
        <v>0</v>
      </c>
      <c r="J333" s="26"/>
      <c r="K333" s="27"/>
    </row>
    <row r="334" spans="1:11" x14ac:dyDescent="0.25">
      <c r="A334" s="28" t="s">
        <v>709</v>
      </c>
      <c r="B334" s="29" t="s">
        <v>716</v>
      </c>
      <c r="C334" s="37" t="s">
        <v>717</v>
      </c>
      <c r="D334" s="30" t="s">
        <v>44</v>
      </c>
      <c r="E334" s="27"/>
      <c r="F334" s="56"/>
      <c r="G334" s="22">
        <f t="shared" si="10"/>
        <v>0</v>
      </c>
      <c r="H334" s="25"/>
      <c r="I334" s="159">
        <f t="shared" si="9"/>
        <v>0</v>
      </c>
      <c r="J334" s="26"/>
      <c r="K334" s="27"/>
    </row>
    <row r="335" spans="1:11" x14ac:dyDescent="0.25">
      <c r="A335" s="28" t="s">
        <v>709</v>
      </c>
      <c r="B335" s="29" t="s">
        <v>718</v>
      </c>
      <c r="C335" s="37" t="s">
        <v>719</v>
      </c>
      <c r="D335" s="30" t="s">
        <v>44</v>
      </c>
      <c r="E335" s="32">
        <v>1371</v>
      </c>
      <c r="F335" s="31">
        <v>89.141599999999997</v>
      </c>
      <c r="G335" s="22">
        <f t="shared" si="10"/>
        <v>122213.1336</v>
      </c>
      <c r="H335" s="25"/>
      <c r="I335" s="159">
        <f t="shared" si="9"/>
        <v>1371</v>
      </c>
      <c r="J335" s="26"/>
      <c r="K335" s="27"/>
    </row>
    <row r="336" spans="1:11" x14ac:dyDescent="0.25">
      <c r="A336" s="28" t="s">
        <v>720</v>
      </c>
      <c r="B336" s="29" t="s">
        <v>721</v>
      </c>
      <c r="C336" s="37" t="s">
        <v>722</v>
      </c>
      <c r="D336" s="30" t="s">
        <v>25</v>
      </c>
      <c r="E336" s="32">
        <v>1150</v>
      </c>
      <c r="F336" s="31">
        <v>800</v>
      </c>
      <c r="G336" s="22">
        <f t="shared" si="10"/>
        <v>920000</v>
      </c>
      <c r="H336" s="25"/>
      <c r="I336" s="159">
        <f t="shared" si="9"/>
        <v>1150</v>
      </c>
      <c r="J336" s="26" t="s">
        <v>723</v>
      </c>
      <c r="K336" s="27"/>
    </row>
    <row r="337" spans="1:11" x14ac:dyDescent="0.25">
      <c r="A337" s="28" t="s">
        <v>720</v>
      </c>
      <c r="B337" s="29" t="s">
        <v>724</v>
      </c>
      <c r="C337" s="37" t="s">
        <v>725</v>
      </c>
      <c r="D337" s="30" t="s">
        <v>25</v>
      </c>
      <c r="E337" s="27"/>
      <c r="F337" s="79">
        <v>884</v>
      </c>
      <c r="G337" s="22">
        <f t="shared" si="10"/>
        <v>0</v>
      </c>
      <c r="H337" s="25"/>
      <c r="I337" s="159">
        <f t="shared" si="9"/>
        <v>0</v>
      </c>
      <c r="J337" s="26" t="s">
        <v>723</v>
      </c>
      <c r="K337" s="27"/>
    </row>
    <row r="338" spans="1:11" x14ac:dyDescent="0.25">
      <c r="A338" s="28" t="s">
        <v>720</v>
      </c>
      <c r="B338" s="29" t="s">
        <v>726</v>
      </c>
      <c r="C338" s="37" t="s">
        <v>727</v>
      </c>
      <c r="D338" s="30" t="s">
        <v>25</v>
      </c>
      <c r="E338" s="27">
        <v>14</v>
      </c>
      <c r="F338" s="31">
        <v>4611.5</v>
      </c>
      <c r="G338" s="22">
        <f t="shared" si="10"/>
        <v>64561</v>
      </c>
      <c r="H338" s="25"/>
      <c r="I338" s="159">
        <f t="shared" si="9"/>
        <v>14</v>
      </c>
      <c r="J338" s="26"/>
      <c r="K338" s="27"/>
    </row>
    <row r="339" spans="1:11" x14ac:dyDescent="0.25">
      <c r="A339" s="28" t="s">
        <v>720</v>
      </c>
      <c r="B339" s="29" t="s">
        <v>728</v>
      </c>
      <c r="C339" s="37" t="s">
        <v>729</v>
      </c>
      <c r="D339" s="30" t="s">
        <v>25</v>
      </c>
      <c r="E339" s="27">
        <v>35</v>
      </c>
      <c r="F339" s="31">
        <v>2370</v>
      </c>
      <c r="G339" s="22">
        <f t="shared" si="10"/>
        <v>82950</v>
      </c>
      <c r="H339" s="25"/>
      <c r="I339" s="159">
        <f t="shared" si="9"/>
        <v>35</v>
      </c>
      <c r="J339" s="26"/>
      <c r="K339" s="27"/>
    </row>
    <row r="340" spans="1:11" x14ac:dyDescent="0.25">
      <c r="A340" s="28" t="s">
        <v>720</v>
      </c>
      <c r="B340" s="29" t="s">
        <v>730</v>
      </c>
      <c r="C340" s="37" t="s">
        <v>731</v>
      </c>
      <c r="D340" s="30" t="s">
        <v>25</v>
      </c>
      <c r="E340" s="27">
        <v>45</v>
      </c>
      <c r="F340" s="33">
        <v>1979.5</v>
      </c>
      <c r="G340" s="22">
        <f t="shared" si="10"/>
        <v>89077.5</v>
      </c>
      <c r="H340" s="25"/>
      <c r="I340" s="159">
        <f t="shared" si="9"/>
        <v>45</v>
      </c>
      <c r="J340" s="26" t="s">
        <v>732</v>
      </c>
      <c r="K340" s="27"/>
    </row>
    <row r="341" spans="1:11" x14ac:dyDescent="0.25">
      <c r="A341" s="28" t="s">
        <v>720</v>
      </c>
      <c r="B341" s="29" t="s">
        <v>733</v>
      </c>
      <c r="C341" s="37" t="s">
        <v>734</v>
      </c>
      <c r="D341" s="30" t="s">
        <v>25</v>
      </c>
      <c r="E341" s="27">
        <v>18</v>
      </c>
      <c r="F341" s="31">
        <v>2202</v>
      </c>
      <c r="G341" s="22">
        <f t="shared" si="10"/>
        <v>39636</v>
      </c>
      <c r="H341" s="25"/>
      <c r="I341" s="159">
        <f t="shared" si="9"/>
        <v>18</v>
      </c>
      <c r="J341" s="26"/>
      <c r="K341" s="27"/>
    </row>
    <row r="342" spans="1:11" x14ac:dyDescent="0.25">
      <c r="A342" s="28" t="s">
        <v>720</v>
      </c>
      <c r="B342" s="29" t="s">
        <v>735</v>
      </c>
      <c r="C342" s="37" t="s">
        <v>736</v>
      </c>
      <c r="D342" s="30" t="s">
        <v>44</v>
      </c>
      <c r="E342" s="27">
        <v>10</v>
      </c>
      <c r="F342" s="31">
        <v>235.125</v>
      </c>
      <c r="G342" s="22">
        <f t="shared" si="10"/>
        <v>2351.25</v>
      </c>
      <c r="H342" s="25"/>
      <c r="I342" s="159">
        <f t="shared" si="9"/>
        <v>10</v>
      </c>
      <c r="J342" s="26"/>
      <c r="K342" s="27"/>
    </row>
    <row r="343" spans="1:11" x14ac:dyDescent="0.25">
      <c r="A343" s="28" t="s">
        <v>720</v>
      </c>
      <c r="B343" s="29" t="s">
        <v>737</v>
      </c>
      <c r="C343" s="37" t="s">
        <v>738</v>
      </c>
      <c r="D343" s="30" t="s">
        <v>25</v>
      </c>
      <c r="E343" s="27">
        <v>50</v>
      </c>
      <c r="F343" s="31">
        <v>1298</v>
      </c>
      <c r="G343" s="22">
        <f t="shared" si="10"/>
        <v>64900</v>
      </c>
      <c r="H343" s="25"/>
      <c r="I343" s="159">
        <f t="shared" si="9"/>
        <v>50</v>
      </c>
      <c r="J343" s="26"/>
      <c r="K343" s="27"/>
    </row>
    <row r="344" spans="1:11" x14ac:dyDescent="0.25">
      <c r="A344" s="28" t="s">
        <v>720</v>
      </c>
      <c r="B344" s="29" t="s">
        <v>739</v>
      </c>
      <c r="C344" s="37" t="s">
        <v>740</v>
      </c>
      <c r="D344" s="30" t="s">
        <v>44</v>
      </c>
      <c r="E344" s="27">
        <v>6</v>
      </c>
      <c r="F344" s="33">
        <v>212.34</v>
      </c>
      <c r="G344" s="22">
        <f t="shared" si="10"/>
        <v>1274.04</v>
      </c>
      <c r="H344" s="25"/>
      <c r="I344" s="159">
        <f t="shared" si="9"/>
        <v>6</v>
      </c>
      <c r="J344" s="26" t="s">
        <v>741</v>
      </c>
      <c r="K344" s="27"/>
    </row>
    <row r="345" spans="1:11" x14ac:dyDescent="0.25">
      <c r="A345" s="28" t="s">
        <v>720</v>
      </c>
      <c r="B345" s="29" t="s">
        <v>742</v>
      </c>
      <c r="C345" s="37" t="s">
        <v>743</v>
      </c>
      <c r="D345" s="30" t="s">
        <v>25</v>
      </c>
      <c r="E345" s="27"/>
      <c r="F345" s="31">
        <v>2829</v>
      </c>
      <c r="G345" s="22">
        <f t="shared" si="10"/>
        <v>0</v>
      </c>
      <c r="H345" s="25"/>
      <c r="I345" s="159">
        <f t="shared" si="9"/>
        <v>0</v>
      </c>
      <c r="J345" s="26"/>
      <c r="K345" s="27"/>
    </row>
    <row r="346" spans="1:11" x14ac:dyDescent="0.25">
      <c r="A346" s="28" t="s">
        <v>720</v>
      </c>
      <c r="B346" s="29" t="s">
        <v>744</v>
      </c>
      <c r="C346" s="37" t="s">
        <v>745</v>
      </c>
      <c r="D346" s="30" t="s">
        <v>44</v>
      </c>
      <c r="E346" s="27"/>
      <c r="F346" s="31">
        <v>10990</v>
      </c>
      <c r="G346" s="22">
        <f t="shared" si="10"/>
        <v>0</v>
      </c>
      <c r="H346" s="25"/>
      <c r="I346" s="159"/>
      <c r="J346" s="26"/>
      <c r="K346" s="27"/>
    </row>
    <row r="347" spans="1:11" x14ac:dyDescent="0.25">
      <c r="A347" s="28" t="s">
        <v>720</v>
      </c>
      <c r="B347" s="29" t="s">
        <v>746</v>
      </c>
      <c r="C347" s="37" t="s">
        <v>747</v>
      </c>
      <c r="D347" s="30" t="s">
        <v>25</v>
      </c>
      <c r="E347" s="27">
        <v>18</v>
      </c>
      <c r="F347" s="31">
        <v>3587</v>
      </c>
      <c r="G347" s="22">
        <f t="shared" si="10"/>
        <v>64566</v>
      </c>
      <c r="H347" s="25"/>
      <c r="I347" s="159">
        <f t="shared" ref="I347:I415" si="11">E347-H347</f>
        <v>18</v>
      </c>
      <c r="J347" s="26"/>
      <c r="K347" s="27"/>
    </row>
    <row r="348" spans="1:11" x14ac:dyDescent="0.25">
      <c r="A348" s="28" t="s">
        <v>748</v>
      </c>
      <c r="B348" s="173" t="s">
        <v>749</v>
      </c>
      <c r="C348" s="174" t="s">
        <v>750</v>
      </c>
      <c r="D348" s="30" t="s">
        <v>44</v>
      </c>
      <c r="E348" s="32"/>
      <c r="F348" s="33">
        <v>292.25</v>
      </c>
      <c r="G348" s="22">
        <f t="shared" si="10"/>
        <v>0</v>
      </c>
      <c r="H348" s="25"/>
      <c r="I348" s="159">
        <f t="shared" si="11"/>
        <v>0</v>
      </c>
      <c r="J348" s="26" t="s">
        <v>751</v>
      </c>
      <c r="K348" s="27"/>
    </row>
    <row r="349" spans="1:11" ht="15.75" customHeight="1" x14ac:dyDescent="0.25">
      <c r="A349" s="28" t="s">
        <v>748</v>
      </c>
      <c r="B349" s="29" t="s">
        <v>752</v>
      </c>
      <c r="C349" s="37" t="s">
        <v>753</v>
      </c>
      <c r="D349" s="30" t="s">
        <v>44</v>
      </c>
      <c r="E349" s="27"/>
      <c r="F349" s="31">
        <v>472.4</v>
      </c>
      <c r="G349" s="22">
        <f t="shared" si="10"/>
        <v>0</v>
      </c>
      <c r="H349" s="25"/>
      <c r="I349" s="159">
        <f t="shared" si="11"/>
        <v>0</v>
      </c>
      <c r="J349" s="26" t="s">
        <v>751</v>
      </c>
      <c r="K349" s="27"/>
    </row>
    <row r="350" spans="1:11" ht="15.75" customHeight="1" x14ac:dyDescent="0.25">
      <c r="A350" s="28" t="s">
        <v>748</v>
      </c>
      <c r="B350" s="29" t="s">
        <v>754</v>
      </c>
      <c r="C350" s="37" t="s">
        <v>755</v>
      </c>
      <c r="D350" s="30" t="s">
        <v>44</v>
      </c>
      <c r="E350" s="32"/>
      <c r="F350" s="31">
        <v>472.4</v>
      </c>
      <c r="G350" s="22">
        <f t="shared" si="10"/>
        <v>0</v>
      </c>
      <c r="H350" s="25"/>
      <c r="I350" s="159">
        <f t="shared" si="11"/>
        <v>0</v>
      </c>
      <c r="J350" s="26" t="s">
        <v>751</v>
      </c>
      <c r="K350" s="27"/>
    </row>
    <row r="351" spans="1:11" x14ac:dyDescent="0.25">
      <c r="A351" s="28" t="s">
        <v>748</v>
      </c>
      <c r="B351" s="29" t="s">
        <v>756</v>
      </c>
      <c r="C351" s="37" t="s">
        <v>757</v>
      </c>
      <c r="D351" s="30" t="s">
        <v>44</v>
      </c>
      <c r="E351" s="27"/>
      <c r="F351" s="31">
        <v>451.5</v>
      </c>
      <c r="G351" s="22">
        <f t="shared" si="10"/>
        <v>0</v>
      </c>
      <c r="H351" s="25"/>
      <c r="I351" s="159">
        <f t="shared" si="11"/>
        <v>0</v>
      </c>
      <c r="J351" s="26" t="s">
        <v>751</v>
      </c>
      <c r="K351" s="27"/>
    </row>
    <row r="352" spans="1:11" x14ac:dyDescent="0.25">
      <c r="A352" s="28" t="s">
        <v>748</v>
      </c>
      <c r="B352" s="29" t="s">
        <v>758</v>
      </c>
      <c r="C352" s="37" t="s">
        <v>759</v>
      </c>
      <c r="D352" s="30" t="s">
        <v>44</v>
      </c>
      <c r="E352" s="27"/>
      <c r="F352" s="56"/>
      <c r="G352" s="22">
        <f t="shared" si="10"/>
        <v>0</v>
      </c>
      <c r="H352" s="25"/>
      <c r="I352" s="159">
        <f t="shared" si="11"/>
        <v>0</v>
      </c>
      <c r="J352" s="26" t="s">
        <v>751</v>
      </c>
      <c r="K352" s="27"/>
    </row>
    <row r="353" spans="1:11" x14ac:dyDescent="0.25">
      <c r="A353" s="28" t="s">
        <v>748</v>
      </c>
      <c r="B353" s="29" t="s">
        <v>760</v>
      </c>
      <c r="C353" s="37" t="s">
        <v>761</v>
      </c>
      <c r="D353" s="30" t="s">
        <v>44</v>
      </c>
      <c r="E353" s="32"/>
      <c r="F353" s="31">
        <v>292.24540000000002</v>
      </c>
      <c r="G353" s="22">
        <f t="shared" si="10"/>
        <v>0</v>
      </c>
      <c r="H353" s="25"/>
      <c r="I353" s="159">
        <f t="shared" si="11"/>
        <v>0</v>
      </c>
      <c r="J353" s="26" t="s">
        <v>751</v>
      </c>
      <c r="K353" s="27"/>
    </row>
    <row r="354" spans="1:11" s="198" customFormat="1" x14ac:dyDescent="0.25">
      <c r="A354" s="189" t="s">
        <v>748</v>
      </c>
      <c r="B354" s="183" t="s">
        <v>1185</v>
      </c>
      <c r="C354" s="184" t="s">
        <v>763</v>
      </c>
      <c r="D354" s="185" t="s">
        <v>44</v>
      </c>
      <c r="E354" s="194">
        <v>360</v>
      </c>
      <c r="F354" s="187"/>
      <c r="G354" s="188">
        <f t="shared" si="10"/>
        <v>0</v>
      </c>
      <c r="H354" s="195"/>
      <c r="I354" s="196">
        <f t="shared" si="11"/>
        <v>360</v>
      </c>
      <c r="J354" s="197"/>
      <c r="K354" s="186"/>
    </row>
    <row r="355" spans="1:11" s="198" customFormat="1" x14ac:dyDescent="0.25">
      <c r="A355" s="189" t="s">
        <v>748</v>
      </c>
      <c r="B355" s="183" t="s">
        <v>1186</v>
      </c>
      <c r="C355" s="184" t="s">
        <v>765</v>
      </c>
      <c r="D355" s="185" t="s">
        <v>44</v>
      </c>
      <c r="E355" s="194">
        <v>288</v>
      </c>
      <c r="F355" s="187"/>
      <c r="G355" s="188">
        <f t="shared" si="10"/>
        <v>0</v>
      </c>
      <c r="H355" s="195"/>
      <c r="I355" s="196">
        <f t="shared" si="11"/>
        <v>288</v>
      </c>
      <c r="J355" s="197"/>
      <c r="K355" s="186"/>
    </row>
    <row r="356" spans="1:11" x14ac:dyDescent="0.25">
      <c r="A356" s="28" t="s">
        <v>748</v>
      </c>
      <c r="B356" s="29" t="s">
        <v>762</v>
      </c>
      <c r="C356" s="37" t="s">
        <v>767</v>
      </c>
      <c r="D356" s="30" t="s">
        <v>44</v>
      </c>
      <c r="E356" s="32">
        <v>175</v>
      </c>
      <c r="F356" s="56">
        <v>355.65</v>
      </c>
      <c r="G356" s="22">
        <f t="shared" si="10"/>
        <v>62238.749999999993</v>
      </c>
      <c r="H356" s="25"/>
      <c r="I356" s="159">
        <f t="shared" si="11"/>
        <v>175</v>
      </c>
      <c r="J356" s="26" t="s">
        <v>751</v>
      </c>
      <c r="K356" s="27"/>
    </row>
    <row r="357" spans="1:11" x14ac:dyDescent="0.25">
      <c r="A357" s="28" t="s">
        <v>748</v>
      </c>
      <c r="B357" s="29" t="s">
        <v>764</v>
      </c>
      <c r="C357" s="37" t="s">
        <v>770</v>
      </c>
      <c r="D357" s="30" t="s">
        <v>44</v>
      </c>
      <c r="E357" s="27">
        <v>700</v>
      </c>
      <c r="F357" s="56">
        <v>370.21</v>
      </c>
      <c r="G357" s="22">
        <f t="shared" si="10"/>
        <v>259147</v>
      </c>
      <c r="H357" s="25"/>
      <c r="I357" s="159">
        <f t="shared" si="11"/>
        <v>700</v>
      </c>
      <c r="J357" s="26" t="s">
        <v>751</v>
      </c>
      <c r="K357" s="27"/>
    </row>
    <row r="358" spans="1:11" x14ac:dyDescent="0.25">
      <c r="A358" s="28" t="s">
        <v>748</v>
      </c>
      <c r="B358" s="29" t="s">
        <v>766</v>
      </c>
      <c r="C358" s="37" t="s">
        <v>772</v>
      </c>
      <c r="D358" s="30" t="s">
        <v>44</v>
      </c>
      <c r="E358" s="27"/>
      <c r="F358" s="31">
        <v>311.18299999999999</v>
      </c>
      <c r="G358" s="22">
        <f t="shared" si="10"/>
        <v>0</v>
      </c>
      <c r="H358" s="25"/>
      <c r="I358" s="159">
        <f t="shared" si="11"/>
        <v>0</v>
      </c>
      <c r="J358" s="26" t="s">
        <v>751</v>
      </c>
      <c r="K358" s="27"/>
    </row>
    <row r="359" spans="1:11" x14ac:dyDescent="0.25">
      <c r="A359" s="28" t="s">
        <v>768</v>
      </c>
      <c r="B359" s="29" t="s">
        <v>769</v>
      </c>
      <c r="C359" s="37" t="s">
        <v>774</v>
      </c>
      <c r="D359" s="30" t="s">
        <v>25</v>
      </c>
      <c r="E359" s="27"/>
      <c r="F359" s="31">
        <v>1903.6</v>
      </c>
      <c r="G359" s="22">
        <f t="shared" si="10"/>
        <v>0</v>
      </c>
      <c r="H359" s="25"/>
      <c r="I359" s="159">
        <f t="shared" si="11"/>
        <v>0</v>
      </c>
      <c r="J359" s="26"/>
      <c r="K359" s="27"/>
    </row>
    <row r="360" spans="1:11" x14ac:dyDescent="0.25">
      <c r="A360" s="28" t="s">
        <v>768</v>
      </c>
      <c r="B360" s="29" t="s">
        <v>771</v>
      </c>
      <c r="C360" s="37" t="s">
        <v>777</v>
      </c>
      <c r="D360" s="30" t="s">
        <v>25</v>
      </c>
      <c r="E360" s="27"/>
      <c r="F360" s="31">
        <v>1903.6</v>
      </c>
      <c r="G360" s="22">
        <f t="shared" si="10"/>
        <v>0</v>
      </c>
      <c r="H360" s="25"/>
      <c r="I360" s="159">
        <f t="shared" si="11"/>
        <v>0</v>
      </c>
      <c r="J360" s="26"/>
      <c r="K360" s="27"/>
    </row>
    <row r="361" spans="1:11" x14ac:dyDescent="0.25">
      <c r="A361" s="28" t="s">
        <v>676</v>
      </c>
      <c r="B361" s="29" t="s">
        <v>773</v>
      </c>
      <c r="C361" s="37" t="s">
        <v>779</v>
      </c>
      <c r="D361" s="30" t="s">
        <v>17</v>
      </c>
      <c r="E361" s="27"/>
      <c r="F361" s="33">
        <v>3350</v>
      </c>
      <c r="G361" s="22">
        <f t="shared" si="10"/>
        <v>0</v>
      </c>
      <c r="H361" s="25"/>
      <c r="I361" s="159">
        <f t="shared" si="11"/>
        <v>0</v>
      </c>
      <c r="J361" s="26"/>
      <c r="K361" s="27"/>
    </row>
    <row r="362" spans="1:11" x14ac:dyDescent="0.25">
      <c r="A362" s="28" t="s">
        <v>775</v>
      </c>
      <c r="B362" s="29" t="s">
        <v>776</v>
      </c>
      <c r="C362" s="37" t="s">
        <v>1187</v>
      </c>
      <c r="D362" s="30" t="s">
        <v>25</v>
      </c>
      <c r="E362" s="27">
        <v>77</v>
      </c>
      <c r="F362" s="31">
        <v>3298</v>
      </c>
      <c r="G362" s="22">
        <f t="shared" si="10"/>
        <v>253946</v>
      </c>
      <c r="H362" s="25"/>
      <c r="I362" s="159">
        <f t="shared" si="11"/>
        <v>77</v>
      </c>
      <c r="J362" s="26"/>
      <c r="K362" s="27"/>
    </row>
    <row r="363" spans="1:11" x14ac:dyDescent="0.25">
      <c r="A363" s="28" t="s">
        <v>775</v>
      </c>
      <c r="B363" s="29" t="s">
        <v>778</v>
      </c>
      <c r="C363" s="37" t="s">
        <v>1188</v>
      </c>
      <c r="D363" s="30" t="s">
        <v>25</v>
      </c>
      <c r="E363" s="27">
        <v>140</v>
      </c>
      <c r="F363" s="39">
        <v>2890</v>
      </c>
      <c r="G363" s="22">
        <f t="shared" si="10"/>
        <v>404600</v>
      </c>
      <c r="H363" s="25"/>
      <c r="I363" s="159">
        <f t="shared" si="11"/>
        <v>140</v>
      </c>
      <c r="J363" s="26"/>
      <c r="K363" s="27"/>
    </row>
    <row r="364" spans="1:11" x14ac:dyDescent="0.25">
      <c r="A364" s="28" t="s">
        <v>780</v>
      </c>
      <c r="B364" s="175" t="s">
        <v>781</v>
      </c>
      <c r="C364" s="176" t="s">
        <v>782</v>
      </c>
      <c r="D364" s="30" t="s">
        <v>25</v>
      </c>
      <c r="E364" s="27"/>
      <c r="F364" s="31">
        <v>3356</v>
      </c>
      <c r="G364" s="22">
        <f t="shared" si="10"/>
        <v>0</v>
      </c>
      <c r="H364" s="25"/>
      <c r="I364" s="159">
        <f t="shared" si="11"/>
        <v>0</v>
      </c>
      <c r="J364" s="26"/>
      <c r="K364" s="27"/>
    </row>
    <row r="365" spans="1:11" x14ac:dyDescent="0.25">
      <c r="A365" s="28" t="s">
        <v>780</v>
      </c>
      <c r="B365" s="29" t="s">
        <v>783</v>
      </c>
      <c r="C365" s="37" t="s">
        <v>784</v>
      </c>
      <c r="D365" s="30" t="s">
        <v>25</v>
      </c>
      <c r="E365" s="27"/>
      <c r="F365" s="31">
        <v>1173</v>
      </c>
      <c r="G365" s="22">
        <f t="shared" si="10"/>
        <v>0</v>
      </c>
      <c r="H365" s="25"/>
      <c r="I365" s="159">
        <f t="shared" si="11"/>
        <v>0</v>
      </c>
      <c r="J365" s="26"/>
      <c r="K365" s="27"/>
    </row>
    <row r="366" spans="1:11" x14ac:dyDescent="0.25">
      <c r="A366" s="28" t="s">
        <v>780</v>
      </c>
      <c r="B366" s="29" t="s">
        <v>785</v>
      </c>
      <c r="C366" s="37" t="s">
        <v>786</v>
      </c>
      <c r="D366" s="30" t="s">
        <v>25</v>
      </c>
      <c r="E366" s="27"/>
      <c r="F366" s="31">
        <v>1966</v>
      </c>
      <c r="G366" s="22">
        <f t="shared" si="10"/>
        <v>0</v>
      </c>
      <c r="H366" s="25"/>
      <c r="I366" s="159">
        <f t="shared" si="11"/>
        <v>0</v>
      </c>
      <c r="J366" s="26"/>
      <c r="K366" s="27"/>
    </row>
    <row r="367" spans="1:11" x14ac:dyDescent="0.25">
      <c r="A367" s="28" t="s">
        <v>780</v>
      </c>
      <c r="B367" s="29" t="s">
        <v>787</v>
      </c>
      <c r="C367" s="37" t="s">
        <v>788</v>
      </c>
      <c r="D367" s="30" t="s">
        <v>25</v>
      </c>
      <c r="E367" s="27"/>
      <c r="F367" s="31">
        <v>7000</v>
      </c>
      <c r="G367" s="22">
        <f t="shared" si="10"/>
        <v>0</v>
      </c>
      <c r="H367" s="25"/>
      <c r="I367" s="159">
        <f t="shared" si="11"/>
        <v>0</v>
      </c>
      <c r="J367" s="26"/>
      <c r="K367" s="27"/>
    </row>
    <row r="368" spans="1:11" x14ac:dyDescent="0.25">
      <c r="A368" s="189" t="s">
        <v>780</v>
      </c>
      <c r="B368" s="183" t="s">
        <v>789</v>
      </c>
      <c r="C368" s="184" t="s">
        <v>790</v>
      </c>
      <c r="D368" s="185" t="s">
        <v>25</v>
      </c>
      <c r="E368" s="186"/>
      <c r="F368" s="187">
        <v>9750</v>
      </c>
      <c r="G368" s="188">
        <f t="shared" si="10"/>
        <v>0</v>
      </c>
      <c r="H368" s="25"/>
      <c r="I368" s="159">
        <f t="shared" si="11"/>
        <v>0</v>
      </c>
      <c r="J368" s="26"/>
      <c r="K368" s="27"/>
    </row>
    <row r="369" spans="1:11" x14ac:dyDescent="0.25">
      <c r="A369" s="28" t="s">
        <v>780</v>
      </c>
      <c r="B369" s="29" t="s">
        <v>791</v>
      </c>
      <c r="C369" s="37" t="s">
        <v>792</v>
      </c>
      <c r="D369" s="30" t="s">
        <v>25</v>
      </c>
      <c r="E369" s="27"/>
      <c r="F369" s="56"/>
      <c r="G369" s="22">
        <f t="shared" si="10"/>
        <v>0</v>
      </c>
      <c r="H369" s="25"/>
      <c r="I369" s="159">
        <f t="shared" si="11"/>
        <v>0</v>
      </c>
      <c r="J369" s="26"/>
      <c r="K369" s="27"/>
    </row>
    <row r="370" spans="1:11" x14ac:dyDescent="0.25">
      <c r="A370" s="28" t="s">
        <v>780</v>
      </c>
      <c r="B370" s="29" t="s">
        <v>793</v>
      </c>
      <c r="C370" s="37" t="s">
        <v>794</v>
      </c>
      <c r="D370" s="30" t="s">
        <v>25</v>
      </c>
      <c r="E370" s="27"/>
      <c r="F370" s="31">
        <v>3550.8</v>
      </c>
      <c r="G370" s="22">
        <f t="shared" si="10"/>
        <v>0</v>
      </c>
      <c r="H370" s="25"/>
      <c r="I370" s="159">
        <f t="shared" si="11"/>
        <v>0</v>
      </c>
      <c r="J370" s="26"/>
      <c r="K370" s="27"/>
    </row>
    <row r="371" spans="1:11" x14ac:dyDescent="0.25">
      <c r="A371" s="189" t="s">
        <v>780</v>
      </c>
      <c r="B371" s="183" t="s">
        <v>795</v>
      </c>
      <c r="C371" s="184" t="s">
        <v>796</v>
      </c>
      <c r="D371" s="185" t="s">
        <v>25</v>
      </c>
      <c r="E371" s="186"/>
      <c r="F371" s="187">
        <v>3120</v>
      </c>
      <c r="G371" s="188">
        <f t="shared" si="10"/>
        <v>0</v>
      </c>
      <c r="H371" s="25"/>
      <c r="I371" s="159">
        <f t="shared" si="11"/>
        <v>0</v>
      </c>
      <c r="J371" s="26"/>
      <c r="K371" s="27"/>
    </row>
    <row r="372" spans="1:11" x14ac:dyDescent="0.25">
      <c r="A372" s="189" t="s">
        <v>780</v>
      </c>
      <c r="B372" s="183" t="s">
        <v>797</v>
      </c>
      <c r="C372" s="184" t="s">
        <v>798</v>
      </c>
      <c r="D372" s="185" t="s">
        <v>25</v>
      </c>
      <c r="E372" s="186"/>
      <c r="F372" s="187">
        <v>13950</v>
      </c>
      <c r="G372" s="188">
        <f t="shared" si="10"/>
        <v>0</v>
      </c>
      <c r="H372" s="25"/>
      <c r="I372" s="159">
        <f t="shared" si="11"/>
        <v>0</v>
      </c>
      <c r="J372" s="26"/>
      <c r="K372" s="27"/>
    </row>
    <row r="373" spans="1:11" x14ac:dyDescent="0.25">
      <c r="A373" s="28" t="s">
        <v>780</v>
      </c>
      <c r="B373" s="29" t="s">
        <v>799</v>
      </c>
      <c r="C373" s="37" t="s">
        <v>800</v>
      </c>
      <c r="D373" s="30" t="s">
        <v>25</v>
      </c>
      <c r="E373" s="27"/>
      <c r="F373" s="31">
        <v>7000</v>
      </c>
      <c r="G373" s="22">
        <f t="shared" si="10"/>
        <v>0</v>
      </c>
      <c r="H373" s="25"/>
      <c r="I373" s="159">
        <f t="shared" si="11"/>
        <v>0</v>
      </c>
      <c r="J373" s="26"/>
      <c r="K373" s="27"/>
    </row>
    <row r="374" spans="1:11" x14ac:dyDescent="0.25">
      <c r="A374" s="28" t="s">
        <v>780</v>
      </c>
      <c r="B374" s="29" t="s">
        <v>801</v>
      </c>
      <c r="C374" s="37" t="s">
        <v>802</v>
      </c>
      <c r="D374" s="30" t="s">
        <v>25</v>
      </c>
      <c r="E374" s="27"/>
      <c r="F374" s="56"/>
      <c r="G374" s="22">
        <f t="shared" si="10"/>
        <v>0</v>
      </c>
      <c r="H374" s="25"/>
      <c r="I374" s="159">
        <f t="shared" si="11"/>
        <v>0</v>
      </c>
      <c r="J374" s="26"/>
      <c r="K374" s="27"/>
    </row>
    <row r="375" spans="1:11" x14ac:dyDescent="0.25">
      <c r="A375" s="28" t="s">
        <v>780</v>
      </c>
      <c r="B375" s="29" t="s">
        <v>803</v>
      </c>
      <c r="C375" s="37" t="s">
        <v>804</v>
      </c>
      <c r="D375" s="30" t="s">
        <v>25</v>
      </c>
      <c r="E375" s="27"/>
      <c r="F375" s="31">
        <v>1266</v>
      </c>
      <c r="G375" s="22">
        <f t="shared" si="10"/>
        <v>0</v>
      </c>
      <c r="H375" s="25"/>
      <c r="I375" s="159">
        <f t="shared" si="11"/>
        <v>0</v>
      </c>
      <c r="J375" s="26"/>
      <c r="K375" s="27"/>
    </row>
    <row r="376" spans="1:11" x14ac:dyDescent="0.25">
      <c r="A376" s="28" t="s">
        <v>780</v>
      </c>
      <c r="B376" s="29" t="s">
        <v>805</v>
      </c>
      <c r="C376" s="37" t="s">
        <v>806</v>
      </c>
      <c r="D376" s="30" t="s">
        <v>25</v>
      </c>
      <c r="E376" s="27"/>
      <c r="F376" s="31">
        <v>1000</v>
      </c>
      <c r="G376" s="22">
        <f t="shared" si="10"/>
        <v>0</v>
      </c>
      <c r="H376" s="25"/>
      <c r="I376" s="159">
        <f t="shared" si="11"/>
        <v>0</v>
      </c>
      <c r="J376" s="26"/>
      <c r="K376" s="27"/>
    </row>
    <row r="377" spans="1:11" x14ac:dyDescent="0.25">
      <c r="A377" s="28" t="s">
        <v>780</v>
      </c>
      <c r="B377" s="29" t="s">
        <v>192</v>
      </c>
      <c r="C377" s="37" t="s">
        <v>807</v>
      </c>
      <c r="D377" s="30" t="s">
        <v>25</v>
      </c>
      <c r="E377" s="27"/>
      <c r="F377" s="31">
        <v>833</v>
      </c>
      <c r="G377" s="22">
        <f t="shared" si="10"/>
        <v>0</v>
      </c>
      <c r="H377" s="25"/>
      <c r="I377" s="159">
        <f t="shared" si="11"/>
        <v>0</v>
      </c>
      <c r="J377" s="26"/>
      <c r="K377" s="27"/>
    </row>
    <row r="378" spans="1:11" x14ac:dyDescent="0.25">
      <c r="A378" s="189" t="s">
        <v>780</v>
      </c>
      <c r="B378" s="183" t="s">
        <v>808</v>
      </c>
      <c r="C378" s="184" t="s">
        <v>809</v>
      </c>
      <c r="D378" s="185" t="s">
        <v>25</v>
      </c>
      <c r="E378" s="186"/>
      <c r="F378" s="187">
        <v>10800</v>
      </c>
      <c r="G378" s="188">
        <f t="shared" si="10"/>
        <v>0</v>
      </c>
      <c r="H378" s="25"/>
      <c r="I378" s="159">
        <f t="shared" si="11"/>
        <v>0</v>
      </c>
      <c r="J378" s="26"/>
      <c r="K378" s="27"/>
    </row>
    <row r="379" spans="1:11" x14ac:dyDescent="0.25">
      <c r="A379" s="28" t="s">
        <v>780</v>
      </c>
      <c r="B379" s="29" t="s">
        <v>810</v>
      </c>
      <c r="C379" s="37" t="s">
        <v>811</v>
      </c>
      <c r="D379" s="30" t="s">
        <v>25</v>
      </c>
      <c r="E379" s="27"/>
      <c r="F379" s="56"/>
      <c r="G379" s="22">
        <f t="shared" si="10"/>
        <v>0</v>
      </c>
      <c r="H379" s="25"/>
      <c r="I379" s="159">
        <f t="shared" si="11"/>
        <v>0</v>
      </c>
      <c r="J379" s="26"/>
      <c r="K379" s="27"/>
    </row>
    <row r="380" spans="1:11" x14ac:dyDescent="0.25">
      <c r="A380" s="28" t="s">
        <v>780</v>
      </c>
      <c r="B380" s="29" t="s">
        <v>812</v>
      </c>
      <c r="C380" s="37" t="s">
        <v>813</v>
      </c>
      <c r="D380" s="30" t="s">
        <v>25</v>
      </c>
      <c r="E380" s="27"/>
      <c r="F380" s="56"/>
      <c r="G380" s="22">
        <f t="shared" si="10"/>
        <v>0</v>
      </c>
      <c r="H380" s="25"/>
      <c r="I380" s="159">
        <f t="shared" si="11"/>
        <v>0</v>
      </c>
      <c r="J380" s="26"/>
      <c r="K380" s="27"/>
    </row>
    <row r="381" spans="1:11" x14ac:dyDescent="0.25">
      <c r="A381" s="28" t="s">
        <v>780</v>
      </c>
      <c r="B381" s="29" t="s">
        <v>814</v>
      </c>
      <c r="C381" s="37" t="s">
        <v>815</v>
      </c>
      <c r="D381" s="30" t="s">
        <v>25</v>
      </c>
      <c r="E381" s="27"/>
      <c r="F381" s="31">
        <v>1200</v>
      </c>
      <c r="G381" s="22">
        <f t="shared" si="10"/>
        <v>0</v>
      </c>
      <c r="H381" s="25"/>
      <c r="I381" s="159">
        <f t="shared" si="11"/>
        <v>0</v>
      </c>
      <c r="J381" s="26"/>
      <c r="K381" s="27"/>
    </row>
    <row r="382" spans="1:11" x14ac:dyDescent="0.25">
      <c r="A382" s="28" t="s">
        <v>780</v>
      </c>
      <c r="B382" s="29" t="s">
        <v>816</v>
      </c>
      <c r="C382" s="37" t="s">
        <v>817</v>
      </c>
      <c r="D382" s="30" t="s">
        <v>25</v>
      </c>
      <c r="E382" s="27"/>
      <c r="F382" s="56"/>
      <c r="G382" s="22">
        <f t="shared" si="10"/>
        <v>0</v>
      </c>
      <c r="H382" s="25"/>
      <c r="I382" s="159">
        <f t="shared" si="11"/>
        <v>0</v>
      </c>
      <c r="J382" s="26"/>
      <c r="K382" s="27"/>
    </row>
    <row r="383" spans="1:11" x14ac:dyDescent="0.25">
      <c r="A383" s="28" t="s">
        <v>780</v>
      </c>
      <c r="B383" s="29" t="s">
        <v>818</v>
      </c>
      <c r="C383" s="37" t="s">
        <v>819</v>
      </c>
      <c r="D383" s="30" t="s">
        <v>25</v>
      </c>
      <c r="E383" s="27"/>
      <c r="F383" s="31">
        <v>1966</v>
      </c>
      <c r="G383" s="22">
        <f>E383*F383</f>
        <v>0</v>
      </c>
      <c r="H383" s="25"/>
      <c r="I383" s="159">
        <f t="shared" si="11"/>
        <v>0</v>
      </c>
      <c r="J383" s="26"/>
      <c r="K383" s="27"/>
    </row>
    <row r="384" spans="1:11" x14ac:dyDescent="0.25">
      <c r="A384" s="28" t="s">
        <v>780</v>
      </c>
      <c r="B384" s="29" t="s">
        <v>820</v>
      </c>
      <c r="C384" s="37" t="s">
        <v>821</v>
      </c>
      <c r="D384" s="30" t="s">
        <v>25</v>
      </c>
      <c r="E384" s="27"/>
      <c r="F384" s="56"/>
      <c r="G384" s="22">
        <f t="shared" si="10"/>
        <v>0</v>
      </c>
      <c r="H384" s="25"/>
      <c r="I384" s="159">
        <f t="shared" si="11"/>
        <v>0</v>
      </c>
      <c r="J384" s="26"/>
      <c r="K384" s="27"/>
    </row>
    <row r="385" spans="1:11" x14ac:dyDescent="0.25">
      <c r="A385" s="28" t="s">
        <v>780</v>
      </c>
      <c r="B385" s="29" t="s">
        <v>822</v>
      </c>
      <c r="C385" s="37" t="s">
        <v>823</v>
      </c>
      <c r="D385" s="30" t="s">
        <v>25</v>
      </c>
      <c r="E385" s="27"/>
      <c r="F385" s="31">
        <v>2233</v>
      </c>
      <c r="G385" s="22">
        <f t="shared" si="10"/>
        <v>0</v>
      </c>
      <c r="H385" s="25"/>
      <c r="I385" s="159">
        <f t="shared" si="11"/>
        <v>0</v>
      </c>
      <c r="J385" s="26"/>
      <c r="K385" s="27"/>
    </row>
    <row r="386" spans="1:11" x14ac:dyDescent="0.25">
      <c r="A386" s="28" t="s">
        <v>780</v>
      </c>
      <c r="B386" s="29" t="s">
        <v>824</v>
      </c>
      <c r="C386" s="37" t="s">
        <v>825</v>
      </c>
      <c r="D386" s="30" t="s">
        <v>25</v>
      </c>
      <c r="E386" s="27"/>
      <c r="F386" s="31">
        <v>2366</v>
      </c>
      <c r="G386" s="22">
        <f t="shared" si="10"/>
        <v>0</v>
      </c>
      <c r="H386" s="25"/>
      <c r="I386" s="159">
        <f t="shared" si="11"/>
        <v>0</v>
      </c>
      <c r="J386" s="26"/>
      <c r="K386" s="27"/>
    </row>
    <row r="387" spans="1:11" x14ac:dyDescent="0.25">
      <c r="A387" s="28" t="s">
        <v>780</v>
      </c>
      <c r="B387" s="29" t="s">
        <v>826</v>
      </c>
      <c r="C387" s="37" t="s">
        <v>827</v>
      </c>
      <c r="D387" s="30" t="s">
        <v>25</v>
      </c>
      <c r="E387" s="27"/>
      <c r="F387" s="31">
        <v>1600</v>
      </c>
      <c r="G387" s="22">
        <f t="shared" si="10"/>
        <v>0</v>
      </c>
      <c r="H387" s="25"/>
      <c r="I387" s="159">
        <f t="shared" si="11"/>
        <v>0</v>
      </c>
      <c r="J387" s="26"/>
      <c r="K387" s="27"/>
    </row>
    <row r="388" spans="1:11" x14ac:dyDescent="0.25">
      <c r="A388" s="28" t="s">
        <v>780</v>
      </c>
      <c r="B388" s="29" t="s">
        <v>828</v>
      </c>
      <c r="C388" s="37" t="s">
        <v>829</v>
      </c>
      <c r="D388" s="30" t="s">
        <v>25</v>
      </c>
      <c r="E388" s="27"/>
      <c r="F388" s="56"/>
      <c r="G388" s="22">
        <f t="shared" si="10"/>
        <v>0</v>
      </c>
      <c r="H388" s="25"/>
      <c r="I388" s="159">
        <f t="shared" si="11"/>
        <v>0</v>
      </c>
      <c r="J388" s="26"/>
      <c r="K388" s="27"/>
    </row>
    <row r="389" spans="1:11" x14ac:dyDescent="0.25">
      <c r="A389" s="28" t="s">
        <v>780</v>
      </c>
      <c r="B389" s="29" t="s">
        <v>830</v>
      </c>
      <c r="C389" s="37" t="s">
        <v>831</v>
      </c>
      <c r="D389" s="30" t="s">
        <v>25</v>
      </c>
      <c r="E389" s="27"/>
      <c r="F389" s="56"/>
      <c r="G389" s="22">
        <f t="shared" si="10"/>
        <v>0</v>
      </c>
      <c r="H389" s="25"/>
      <c r="I389" s="159">
        <f t="shared" si="11"/>
        <v>0</v>
      </c>
      <c r="J389" s="26"/>
      <c r="K389" s="27"/>
    </row>
    <row r="390" spans="1:11" x14ac:dyDescent="0.25">
      <c r="A390" s="28" t="s">
        <v>780</v>
      </c>
      <c r="B390" s="29" t="s">
        <v>832</v>
      </c>
      <c r="C390" s="37" t="s">
        <v>833</v>
      </c>
      <c r="D390" s="30" t="s">
        <v>25</v>
      </c>
      <c r="E390" s="27"/>
      <c r="F390" s="56"/>
      <c r="G390" s="22">
        <f t="shared" si="10"/>
        <v>0</v>
      </c>
      <c r="H390" s="25"/>
      <c r="I390" s="159">
        <f t="shared" si="11"/>
        <v>0</v>
      </c>
      <c r="J390" s="26"/>
      <c r="K390" s="27"/>
    </row>
    <row r="391" spans="1:11" x14ac:dyDescent="0.25">
      <c r="A391" s="28" t="s">
        <v>780</v>
      </c>
      <c r="B391" s="183" t="s">
        <v>834</v>
      </c>
      <c r="C391" s="184" t="s">
        <v>835</v>
      </c>
      <c r="D391" s="185" t="s">
        <v>25</v>
      </c>
      <c r="E391" s="186"/>
      <c r="F391" s="187">
        <v>13950</v>
      </c>
      <c r="G391" s="188">
        <f t="shared" si="10"/>
        <v>0</v>
      </c>
      <c r="H391" s="25"/>
      <c r="I391" s="159">
        <f t="shared" si="11"/>
        <v>0</v>
      </c>
      <c r="J391" s="26"/>
      <c r="K391" s="27"/>
    </row>
    <row r="392" spans="1:11" x14ac:dyDescent="0.25">
      <c r="A392" s="28" t="s">
        <v>780</v>
      </c>
      <c r="B392" s="29" t="s">
        <v>836</v>
      </c>
      <c r="C392" s="37" t="s">
        <v>837</v>
      </c>
      <c r="D392" s="30" t="s">
        <v>25</v>
      </c>
      <c r="E392" s="27"/>
      <c r="F392" s="56"/>
      <c r="G392" s="22">
        <f t="shared" si="10"/>
        <v>0</v>
      </c>
      <c r="H392" s="25"/>
      <c r="I392" s="159">
        <f t="shared" si="11"/>
        <v>0</v>
      </c>
      <c r="J392" s="26"/>
      <c r="K392" s="27"/>
    </row>
    <row r="393" spans="1:11" x14ac:dyDescent="0.25">
      <c r="A393" s="28" t="s">
        <v>780</v>
      </c>
      <c r="B393" s="29" t="s">
        <v>838</v>
      </c>
      <c r="C393" s="37" t="s">
        <v>839</v>
      </c>
      <c r="D393" s="30" t="s">
        <v>25</v>
      </c>
      <c r="E393" s="27"/>
      <c r="F393" s="31">
        <v>1733</v>
      </c>
      <c r="G393" s="22">
        <f t="shared" si="10"/>
        <v>0</v>
      </c>
      <c r="H393" s="25"/>
      <c r="I393" s="159">
        <f t="shared" si="11"/>
        <v>0</v>
      </c>
      <c r="J393" s="26"/>
      <c r="K393" s="27"/>
    </row>
    <row r="394" spans="1:11" x14ac:dyDescent="0.25">
      <c r="A394" s="28" t="s">
        <v>780</v>
      </c>
      <c r="B394" s="29" t="s">
        <v>840</v>
      </c>
      <c r="C394" s="37" t="s">
        <v>841</v>
      </c>
      <c r="D394" s="30" t="s">
        <v>25</v>
      </c>
      <c r="E394" s="27"/>
      <c r="F394" s="31">
        <v>6666</v>
      </c>
      <c r="G394" s="22">
        <f t="shared" si="10"/>
        <v>0</v>
      </c>
      <c r="H394" s="25"/>
      <c r="I394" s="159">
        <f t="shared" si="11"/>
        <v>0</v>
      </c>
      <c r="J394" s="26"/>
      <c r="K394" s="27"/>
    </row>
    <row r="395" spans="1:11" x14ac:dyDescent="0.25">
      <c r="A395" s="28" t="s">
        <v>780</v>
      </c>
      <c r="B395" s="29" t="s">
        <v>842</v>
      </c>
      <c r="C395" s="37" t="s">
        <v>843</v>
      </c>
      <c r="D395" s="30" t="s">
        <v>25</v>
      </c>
      <c r="E395" s="27"/>
      <c r="F395" s="31">
        <v>2100</v>
      </c>
      <c r="G395" s="22">
        <f t="shared" si="10"/>
        <v>0</v>
      </c>
      <c r="H395" s="25"/>
      <c r="I395" s="159">
        <f t="shared" si="11"/>
        <v>0</v>
      </c>
      <c r="J395" s="26"/>
      <c r="K395" s="27"/>
    </row>
    <row r="396" spans="1:11" x14ac:dyDescent="0.25">
      <c r="A396" s="28" t="s">
        <v>780</v>
      </c>
      <c r="B396" s="29" t="s">
        <v>844</v>
      </c>
      <c r="C396" s="37" t="s">
        <v>845</v>
      </c>
      <c r="D396" s="30" t="s">
        <v>25</v>
      </c>
      <c r="E396" s="27"/>
      <c r="F396" s="56"/>
      <c r="G396" s="22">
        <f t="shared" ref="G396:G461" si="12">E396*F396</f>
        <v>0</v>
      </c>
      <c r="H396" s="25"/>
      <c r="I396" s="159">
        <f t="shared" si="11"/>
        <v>0</v>
      </c>
      <c r="J396" s="26"/>
      <c r="K396" s="27"/>
    </row>
    <row r="397" spans="1:11" x14ac:dyDescent="0.25">
      <c r="A397" s="28" t="s">
        <v>780</v>
      </c>
      <c r="B397" s="29" t="s">
        <v>846</v>
      </c>
      <c r="C397" s="37" t="s">
        <v>847</v>
      </c>
      <c r="D397" s="30" t="s">
        <v>25</v>
      </c>
      <c r="E397" s="27"/>
      <c r="F397" s="56"/>
      <c r="G397" s="22">
        <f t="shared" si="12"/>
        <v>0</v>
      </c>
      <c r="H397" s="25"/>
      <c r="I397" s="159">
        <f t="shared" si="11"/>
        <v>0</v>
      </c>
      <c r="J397" s="26"/>
      <c r="K397" s="27"/>
    </row>
    <row r="398" spans="1:11" x14ac:dyDescent="0.25">
      <c r="A398" s="28" t="s">
        <v>780</v>
      </c>
      <c r="B398" s="29" t="s">
        <v>848</v>
      </c>
      <c r="C398" s="37" t="s">
        <v>850</v>
      </c>
      <c r="D398" s="30" t="s">
        <v>25</v>
      </c>
      <c r="E398" s="27"/>
      <c r="F398" s="31">
        <v>1000</v>
      </c>
      <c r="G398" s="22">
        <f>E398*F398</f>
        <v>0</v>
      </c>
      <c r="H398" s="25"/>
      <c r="I398" s="159">
        <f t="shared" si="11"/>
        <v>0</v>
      </c>
      <c r="J398" s="26"/>
      <c r="K398" s="27"/>
    </row>
    <row r="399" spans="1:11" x14ac:dyDescent="0.25">
      <c r="A399" s="28" t="s">
        <v>780</v>
      </c>
      <c r="B399" s="29" t="s">
        <v>849</v>
      </c>
      <c r="C399" s="37" t="s">
        <v>852</v>
      </c>
      <c r="D399" s="30" t="s">
        <v>25</v>
      </c>
      <c r="E399" s="27"/>
      <c r="F399" s="56"/>
      <c r="G399" s="22">
        <f t="shared" si="12"/>
        <v>0</v>
      </c>
      <c r="H399" s="25"/>
      <c r="I399" s="159">
        <f t="shared" si="11"/>
        <v>0</v>
      </c>
      <c r="J399" s="26"/>
      <c r="K399" s="27"/>
    </row>
    <row r="400" spans="1:11" x14ac:dyDescent="0.25">
      <c r="A400" s="28" t="s">
        <v>780</v>
      </c>
      <c r="B400" s="29" t="s">
        <v>851</v>
      </c>
      <c r="C400" s="37" t="s">
        <v>854</v>
      </c>
      <c r="D400" s="30" t="s">
        <v>25</v>
      </c>
      <c r="E400" s="27"/>
      <c r="F400" s="56"/>
      <c r="G400" s="22">
        <f t="shared" si="12"/>
        <v>0</v>
      </c>
      <c r="H400" s="25"/>
      <c r="I400" s="159">
        <f t="shared" si="11"/>
        <v>0</v>
      </c>
      <c r="J400" s="26"/>
      <c r="K400" s="27"/>
    </row>
    <row r="401" spans="1:11" x14ac:dyDescent="0.25">
      <c r="A401" s="28" t="s">
        <v>780</v>
      </c>
      <c r="B401" s="29" t="s">
        <v>853</v>
      </c>
      <c r="C401" s="37" t="s">
        <v>856</v>
      </c>
      <c r="D401" s="30" t="s">
        <v>25</v>
      </c>
      <c r="E401" s="27"/>
      <c r="F401" s="31">
        <v>2033</v>
      </c>
      <c r="G401" s="22">
        <f t="shared" si="12"/>
        <v>0</v>
      </c>
      <c r="H401" s="25"/>
      <c r="I401" s="159">
        <f t="shared" si="11"/>
        <v>0</v>
      </c>
      <c r="J401" s="26"/>
      <c r="K401" s="27"/>
    </row>
    <row r="402" spans="1:11" x14ac:dyDescent="0.25">
      <c r="A402" s="28" t="s">
        <v>780</v>
      </c>
      <c r="B402" s="29" t="s">
        <v>855</v>
      </c>
      <c r="C402" s="37" t="s">
        <v>858</v>
      </c>
      <c r="D402" s="30" t="s">
        <v>25</v>
      </c>
      <c r="E402" s="27"/>
      <c r="F402" s="56"/>
      <c r="G402" s="22">
        <f t="shared" si="12"/>
        <v>0</v>
      </c>
      <c r="H402" s="25"/>
      <c r="I402" s="159">
        <f t="shared" si="11"/>
        <v>0</v>
      </c>
      <c r="J402" s="26"/>
      <c r="K402" s="27"/>
    </row>
    <row r="403" spans="1:11" x14ac:dyDescent="0.25">
      <c r="A403" s="28" t="s">
        <v>780</v>
      </c>
      <c r="B403" s="29" t="s">
        <v>857</v>
      </c>
      <c r="C403" s="37" t="s">
        <v>860</v>
      </c>
      <c r="D403" s="30" t="s">
        <v>25</v>
      </c>
      <c r="E403" s="27"/>
      <c r="F403" s="56"/>
      <c r="G403" s="22">
        <f t="shared" si="12"/>
        <v>0</v>
      </c>
      <c r="H403" s="25"/>
      <c r="I403" s="159">
        <f t="shared" si="11"/>
        <v>0</v>
      </c>
      <c r="J403" s="26"/>
      <c r="K403" s="27"/>
    </row>
    <row r="404" spans="1:11" x14ac:dyDescent="0.25">
      <c r="A404" s="189" t="s">
        <v>780</v>
      </c>
      <c r="B404" s="183" t="s">
        <v>859</v>
      </c>
      <c r="C404" s="184" t="s">
        <v>862</v>
      </c>
      <c r="D404" s="185" t="s">
        <v>25</v>
      </c>
      <c r="E404" s="186"/>
      <c r="F404" s="187">
        <v>8700</v>
      </c>
      <c r="G404" s="188">
        <f t="shared" si="12"/>
        <v>0</v>
      </c>
      <c r="H404" s="25"/>
      <c r="I404" s="159">
        <f t="shared" si="11"/>
        <v>0</v>
      </c>
      <c r="J404" s="26"/>
      <c r="K404" s="27"/>
    </row>
    <row r="405" spans="1:11" x14ac:dyDescent="0.25">
      <c r="A405" s="189" t="s">
        <v>780</v>
      </c>
      <c r="B405" s="183" t="s">
        <v>861</v>
      </c>
      <c r="C405" s="184" t="s">
        <v>864</v>
      </c>
      <c r="D405" s="185" t="s">
        <v>25</v>
      </c>
      <c r="E405" s="186"/>
      <c r="F405" s="187">
        <v>8500</v>
      </c>
      <c r="G405" s="188">
        <f t="shared" si="12"/>
        <v>0</v>
      </c>
      <c r="H405" s="25"/>
      <c r="I405" s="159">
        <f t="shared" si="11"/>
        <v>0</v>
      </c>
      <c r="J405" s="26"/>
      <c r="K405" s="27"/>
    </row>
    <row r="406" spans="1:11" x14ac:dyDescent="0.25">
      <c r="A406" s="28" t="s">
        <v>780</v>
      </c>
      <c r="B406" s="29" t="s">
        <v>863</v>
      </c>
      <c r="C406" s="37" t="s">
        <v>867</v>
      </c>
      <c r="D406" s="30" t="s">
        <v>25</v>
      </c>
      <c r="E406" s="27"/>
      <c r="F406" s="56" t="s">
        <v>865</v>
      </c>
      <c r="G406" s="22"/>
      <c r="H406" s="25"/>
      <c r="I406" s="159">
        <f t="shared" si="11"/>
        <v>0</v>
      </c>
      <c r="J406" s="26"/>
      <c r="K406" s="27"/>
    </row>
    <row r="407" spans="1:11" x14ac:dyDescent="0.25">
      <c r="A407" s="28" t="s">
        <v>780</v>
      </c>
      <c r="B407" s="29" t="s">
        <v>866</v>
      </c>
      <c r="C407" s="37" t="s">
        <v>869</v>
      </c>
      <c r="D407" s="30" t="s">
        <v>25</v>
      </c>
      <c r="E407" s="27"/>
      <c r="F407" s="31">
        <v>2766</v>
      </c>
      <c r="G407" s="22">
        <f t="shared" si="12"/>
        <v>0</v>
      </c>
      <c r="H407" s="25"/>
      <c r="I407" s="159">
        <f t="shared" si="11"/>
        <v>0</v>
      </c>
      <c r="J407" s="26"/>
      <c r="K407" s="27"/>
    </row>
    <row r="408" spans="1:11" x14ac:dyDescent="0.25">
      <c r="A408" s="28" t="s">
        <v>780</v>
      </c>
      <c r="B408" s="29" t="s">
        <v>868</v>
      </c>
      <c r="C408" s="37" t="s">
        <v>871</v>
      </c>
      <c r="D408" s="30" t="s">
        <v>44</v>
      </c>
      <c r="E408" s="27"/>
      <c r="F408" s="31">
        <v>2110</v>
      </c>
      <c r="G408" s="22">
        <f t="shared" si="12"/>
        <v>0</v>
      </c>
      <c r="H408" s="25"/>
      <c r="I408" s="159">
        <f t="shared" si="11"/>
        <v>0</v>
      </c>
      <c r="J408" s="26"/>
      <c r="K408" s="27"/>
    </row>
    <row r="409" spans="1:11" x14ac:dyDescent="0.25">
      <c r="A409" s="28" t="s">
        <v>780</v>
      </c>
      <c r="B409" s="29" t="s">
        <v>870</v>
      </c>
      <c r="C409" s="37" t="s">
        <v>873</v>
      </c>
      <c r="D409" s="30" t="s">
        <v>44</v>
      </c>
      <c r="E409" s="27"/>
      <c r="F409" s="31">
        <v>7100</v>
      </c>
      <c r="G409" s="22">
        <f t="shared" si="12"/>
        <v>0</v>
      </c>
      <c r="H409" s="25"/>
      <c r="I409" s="159">
        <f t="shared" si="11"/>
        <v>0</v>
      </c>
      <c r="J409" s="26"/>
      <c r="K409" s="27"/>
    </row>
    <row r="410" spans="1:11" x14ac:dyDescent="0.25">
      <c r="A410" s="28" t="s">
        <v>780</v>
      </c>
      <c r="B410" s="29" t="s">
        <v>872</v>
      </c>
      <c r="C410" s="37" t="s">
        <v>1182</v>
      </c>
      <c r="D410" s="30" t="s">
        <v>25</v>
      </c>
      <c r="E410" s="27"/>
      <c r="F410" s="56"/>
      <c r="G410" s="22">
        <f t="shared" si="12"/>
        <v>0</v>
      </c>
      <c r="H410" s="25"/>
      <c r="I410" s="159">
        <f t="shared" si="11"/>
        <v>0</v>
      </c>
      <c r="J410" s="26"/>
      <c r="K410" s="27"/>
    </row>
    <row r="411" spans="1:11" x14ac:dyDescent="0.25">
      <c r="A411" s="28" t="s">
        <v>874</v>
      </c>
      <c r="B411" s="177" t="s">
        <v>875</v>
      </c>
      <c r="C411" s="178" t="s">
        <v>876</v>
      </c>
      <c r="D411" s="30" t="s">
        <v>25</v>
      </c>
      <c r="E411" s="27">
        <v>5</v>
      </c>
      <c r="F411" s="31">
        <v>5521</v>
      </c>
      <c r="G411" s="22">
        <f t="shared" si="12"/>
        <v>27605</v>
      </c>
      <c r="H411" s="25"/>
      <c r="I411" s="159">
        <f t="shared" si="11"/>
        <v>5</v>
      </c>
      <c r="J411" s="26"/>
      <c r="K411" s="27"/>
    </row>
    <row r="412" spans="1:11" x14ac:dyDescent="0.25">
      <c r="A412" s="28" t="s">
        <v>874</v>
      </c>
      <c r="B412" s="29" t="s">
        <v>877</v>
      </c>
      <c r="C412" s="37" t="s">
        <v>878</v>
      </c>
      <c r="D412" s="30" t="s">
        <v>44</v>
      </c>
      <c r="E412" s="27">
        <v>3</v>
      </c>
      <c r="F412" s="31">
        <v>1260</v>
      </c>
      <c r="G412" s="22">
        <f t="shared" si="12"/>
        <v>3780</v>
      </c>
      <c r="H412" s="25"/>
      <c r="I412" s="159">
        <f t="shared" si="11"/>
        <v>3</v>
      </c>
      <c r="J412" s="26"/>
      <c r="K412" s="27"/>
    </row>
    <row r="413" spans="1:11" x14ac:dyDescent="0.25">
      <c r="A413" s="28" t="s">
        <v>874</v>
      </c>
      <c r="B413" s="29" t="s">
        <v>879</v>
      </c>
      <c r="C413" s="37" t="s">
        <v>880</v>
      </c>
      <c r="D413" s="30" t="s">
        <v>25</v>
      </c>
      <c r="E413" s="27">
        <v>4</v>
      </c>
      <c r="F413" s="56"/>
      <c r="G413" s="22">
        <f t="shared" si="12"/>
        <v>0</v>
      </c>
      <c r="H413" s="25"/>
      <c r="I413" s="159">
        <f t="shared" si="11"/>
        <v>4</v>
      </c>
      <c r="J413" s="26"/>
      <c r="K413" s="27"/>
    </row>
    <row r="414" spans="1:11" x14ac:dyDescent="0.25">
      <c r="A414" s="28" t="s">
        <v>874</v>
      </c>
      <c r="B414" s="29" t="s">
        <v>881</v>
      </c>
      <c r="C414" s="37" t="s">
        <v>882</v>
      </c>
      <c r="D414" s="30" t="s">
        <v>44</v>
      </c>
      <c r="E414" s="27"/>
      <c r="F414" s="31">
        <v>3361</v>
      </c>
      <c r="G414" s="22">
        <f t="shared" si="12"/>
        <v>0</v>
      </c>
      <c r="H414" s="25"/>
      <c r="I414" s="159">
        <f t="shared" si="11"/>
        <v>0</v>
      </c>
      <c r="J414" s="26"/>
      <c r="K414" s="27"/>
    </row>
    <row r="415" spans="1:11" x14ac:dyDescent="0.25">
      <c r="A415" s="28" t="s">
        <v>874</v>
      </c>
      <c r="B415" s="29" t="s">
        <v>883</v>
      </c>
      <c r="C415" s="37" t="s">
        <v>884</v>
      </c>
      <c r="D415" s="30" t="s">
        <v>44</v>
      </c>
      <c r="E415" s="27">
        <v>13</v>
      </c>
      <c r="F415" s="31">
        <v>2352</v>
      </c>
      <c r="G415" s="22">
        <f t="shared" si="12"/>
        <v>30576</v>
      </c>
      <c r="H415" s="25"/>
      <c r="I415" s="159">
        <f t="shared" si="11"/>
        <v>13</v>
      </c>
      <c r="J415" s="26"/>
      <c r="K415" s="27"/>
    </row>
    <row r="416" spans="1:11" x14ac:dyDescent="0.25">
      <c r="A416" s="28" t="s">
        <v>874</v>
      </c>
      <c r="B416" s="29" t="s">
        <v>885</v>
      </c>
      <c r="C416" s="37" t="s">
        <v>886</v>
      </c>
      <c r="D416" s="30" t="s">
        <v>25</v>
      </c>
      <c r="E416" s="27">
        <v>60</v>
      </c>
      <c r="F416" s="31">
        <v>1260</v>
      </c>
      <c r="G416" s="22">
        <f t="shared" si="12"/>
        <v>75600</v>
      </c>
      <c r="H416" s="25"/>
      <c r="I416" s="159">
        <f t="shared" ref="I416:I441" si="13">E416-H416</f>
        <v>60</v>
      </c>
      <c r="J416" s="26"/>
      <c r="K416" s="27"/>
    </row>
    <row r="417" spans="1:11" x14ac:dyDescent="0.25">
      <c r="A417" s="28" t="s">
        <v>874</v>
      </c>
      <c r="B417" s="29" t="s">
        <v>887</v>
      </c>
      <c r="C417" s="37" t="s">
        <v>888</v>
      </c>
      <c r="D417" s="30" t="s">
        <v>25</v>
      </c>
      <c r="E417" s="27">
        <v>130</v>
      </c>
      <c r="F417" s="38">
        <v>840</v>
      </c>
      <c r="G417" s="22">
        <f t="shared" si="12"/>
        <v>109200</v>
      </c>
      <c r="H417" s="25"/>
      <c r="I417" s="159">
        <f t="shared" si="13"/>
        <v>130</v>
      </c>
      <c r="J417" s="26"/>
      <c r="K417" s="27"/>
    </row>
    <row r="418" spans="1:11" x14ac:dyDescent="0.25">
      <c r="A418" s="28" t="s">
        <v>874</v>
      </c>
      <c r="B418" s="29" t="s">
        <v>889</v>
      </c>
      <c r="C418" s="37" t="s">
        <v>890</v>
      </c>
      <c r="D418" s="30" t="s">
        <v>25</v>
      </c>
      <c r="E418" s="27"/>
      <c r="F418" s="31">
        <v>1092</v>
      </c>
      <c r="G418" s="22">
        <f t="shared" si="12"/>
        <v>0</v>
      </c>
      <c r="H418" s="25"/>
      <c r="I418" s="159">
        <f t="shared" si="13"/>
        <v>0</v>
      </c>
      <c r="J418" s="26"/>
      <c r="K418" s="27"/>
    </row>
    <row r="419" spans="1:11" x14ac:dyDescent="0.25">
      <c r="A419" s="28" t="s">
        <v>874</v>
      </c>
      <c r="B419" s="29" t="s">
        <v>891</v>
      </c>
      <c r="C419" s="37" t="s">
        <v>892</v>
      </c>
      <c r="D419" s="30" t="s">
        <v>44</v>
      </c>
      <c r="E419" s="27">
        <v>7</v>
      </c>
      <c r="F419" s="31">
        <v>1680</v>
      </c>
      <c r="G419" s="22">
        <f t="shared" si="12"/>
        <v>11760</v>
      </c>
      <c r="H419" s="25"/>
      <c r="I419" s="159">
        <f t="shared" si="13"/>
        <v>7</v>
      </c>
      <c r="J419" s="26"/>
      <c r="K419" s="27"/>
    </row>
    <row r="420" spans="1:11" x14ac:dyDescent="0.25">
      <c r="A420" s="28" t="s">
        <v>874</v>
      </c>
      <c r="B420" s="29" t="s">
        <v>893</v>
      </c>
      <c r="C420" s="37" t="s">
        <v>894</v>
      </c>
      <c r="D420" s="30" t="s">
        <v>44</v>
      </c>
      <c r="E420" s="27">
        <v>11</v>
      </c>
      <c r="F420" s="31">
        <v>2100</v>
      </c>
      <c r="G420" s="22">
        <f t="shared" si="12"/>
        <v>23100</v>
      </c>
      <c r="H420" s="25"/>
      <c r="I420" s="159">
        <f t="shared" si="13"/>
        <v>11</v>
      </c>
      <c r="J420" s="26"/>
      <c r="K420" s="27"/>
    </row>
    <row r="421" spans="1:11" x14ac:dyDescent="0.25">
      <c r="A421" s="28" t="s">
        <v>874</v>
      </c>
      <c r="B421" s="29" t="s">
        <v>895</v>
      </c>
      <c r="C421" s="37" t="s">
        <v>896</v>
      </c>
      <c r="D421" s="30" t="s">
        <v>44</v>
      </c>
      <c r="E421" s="27">
        <v>10</v>
      </c>
      <c r="F421" s="31">
        <v>1260</v>
      </c>
      <c r="G421" s="22">
        <f t="shared" si="12"/>
        <v>12600</v>
      </c>
      <c r="H421" s="25"/>
      <c r="I421" s="159">
        <f t="shared" si="13"/>
        <v>10</v>
      </c>
      <c r="J421" s="26"/>
      <c r="K421" s="27"/>
    </row>
    <row r="422" spans="1:11" x14ac:dyDescent="0.25">
      <c r="A422" s="28" t="s">
        <v>874</v>
      </c>
      <c r="B422" s="29" t="s">
        <v>897</v>
      </c>
      <c r="C422" s="37" t="s">
        <v>898</v>
      </c>
      <c r="D422" s="30" t="s">
        <v>44</v>
      </c>
      <c r="E422" s="27"/>
      <c r="F422" s="31">
        <v>2100</v>
      </c>
      <c r="G422" s="22">
        <f t="shared" si="12"/>
        <v>0</v>
      </c>
      <c r="H422" s="25"/>
      <c r="I422" s="159">
        <f t="shared" si="13"/>
        <v>0</v>
      </c>
      <c r="J422" s="26"/>
      <c r="K422" s="27"/>
    </row>
    <row r="423" spans="1:11" x14ac:dyDescent="0.25">
      <c r="A423" s="28" t="s">
        <v>874</v>
      </c>
      <c r="B423" s="29" t="s">
        <v>899</v>
      </c>
      <c r="C423" s="37" t="s">
        <v>900</v>
      </c>
      <c r="D423" s="30" t="s">
        <v>44</v>
      </c>
      <c r="E423" s="27"/>
      <c r="F423" s="31">
        <v>2941</v>
      </c>
      <c r="G423" s="22">
        <f t="shared" si="12"/>
        <v>0</v>
      </c>
      <c r="H423" s="25"/>
      <c r="I423" s="159">
        <f t="shared" si="13"/>
        <v>0</v>
      </c>
      <c r="J423" s="26"/>
      <c r="K423" s="27"/>
    </row>
    <row r="424" spans="1:11" x14ac:dyDescent="0.25">
      <c r="A424" s="28" t="s">
        <v>874</v>
      </c>
      <c r="B424" s="29" t="s">
        <v>901</v>
      </c>
      <c r="C424" s="37" t="s">
        <v>902</v>
      </c>
      <c r="D424" s="30" t="s">
        <v>44</v>
      </c>
      <c r="E424" s="27">
        <v>80</v>
      </c>
      <c r="F424" s="38">
        <v>1764</v>
      </c>
      <c r="G424" s="22">
        <f t="shared" si="12"/>
        <v>141120</v>
      </c>
      <c r="H424" s="25"/>
      <c r="I424" s="159">
        <f t="shared" si="13"/>
        <v>80</v>
      </c>
      <c r="J424" s="26"/>
      <c r="K424" s="27"/>
    </row>
    <row r="425" spans="1:11" x14ac:dyDescent="0.25">
      <c r="A425" s="28" t="s">
        <v>874</v>
      </c>
      <c r="B425" s="29" t="s">
        <v>903</v>
      </c>
      <c r="C425" s="37" t="s">
        <v>904</v>
      </c>
      <c r="D425" s="30" t="s">
        <v>25</v>
      </c>
      <c r="E425" s="27">
        <v>23</v>
      </c>
      <c r="F425" s="31">
        <v>1680</v>
      </c>
      <c r="G425" s="22">
        <f t="shared" si="12"/>
        <v>38640</v>
      </c>
      <c r="H425" s="25"/>
      <c r="I425" s="159">
        <f t="shared" si="13"/>
        <v>23</v>
      </c>
      <c r="J425" s="26"/>
      <c r="K425" s="27"/>
    </row>
    <row r="426" spans="1:11" x14ac:dyDescent="0.25">
      <c r="A426" s="28" t="s">
        <v>874</v>
      </c>
      <c r="B426" s="29" t="s">
        <v>905</v>
      </c>
      <c r="C426" s="37" t="s">
        <v>906</v>
      </c>
      <c r="D426" s="30" t="s">
        <v>25</v>
      </c>
      <c r="E426" s="27"/>
      <c r="F426" s="31">
        <v>2100</v>
      </c>
      <c r="G426" s="22">
        <f t="shared" si="12"/>
        <v>0</v>
      </c>
      <c r="H426" s="25"/>
      <c r="I426" s="159">
        <f t="shared" si="13"/>
        <v>0</v>
      </c>
      <c r="J426" s="26"/>
      <c r="K426" s="27"/>
    </row>
    <row r="427" spans="1:11" x14ac:dyDescent="0.25">
      <c r="A427" s="28" t="s">
        <v>874</v>
      </c>
      <c r="B427" s="29" t="s">
        <v>907</v>
      </c>
      <c r="C427" s="37" t="s">
        <v>908</v>
      </c>
      <c r="D427" s="30" t="s">
        <v>25</v>
      </c>
      <c r="E427" s="27"/>
      <c r="F427" s="56"/>
      <c r="G427" s="22">
        <f t="shared" si="12"/>
        <v>0</v>
      </c>
      <c r="H427" s="25"/>
      <c r="I427" s="159">
        <f t="shared" si="13"/>
        <v>0</v>
      </c>
      <c r="J427" s="26"/>
      <c r="K427" s="27"/>
    </row>
    <row r="428" spans="1:11" x14ac:dyDescent="0.25">
      <c r="A428" s="28" t="s">
        <v>874</v>
      </c>
      <c r="B428" s="29" t="s">
        <v>909</v>
      </c>
      <c r="C428" s="37" t="s">
        <v>910</v>
      </c>
      <c r="D428" s="30" t="s">
        <v>25</v>
      </c>
      <c r="E428" s="27">
        <v>200</v>
      </c>
      <c r="F428" s="31">
        <v>950</v>
      </c>
      <c r="G428" s="22">
        <f t="shared" si="12"/>
        <v>190000</v>
      </c>
      <c r="H428" s="25"/>
      <c r="I428" s="159">
        <f t="shared" si="13"/>
        <v>200</v>
      </c>
      <c r="J428" s="26"/>
      <c r="K428" s="27"/>
    </row>
    <row r="429" spans="1:11" x14ac:dyDescent="0.25">
      <c r="A429" s="28" t="s">
        <v>874</v>
      </c>
      <c r="B429" s="29" t="s">
        <v>911</v>
      </c>
      <c r="C429" s="37" t="s">
        <v>912</v>
      </c>
      <c r="D429" s="30" t="s">
        <v>25</v>
      </c>
      <c r="E429" s="27">
        <v>30</v>
      </c>
      <c r="F429" s="31">
        <v>1134</v>
      </c>
      <c r="G429" s="22">
        <f t="shared" si="12"/>
        <v>34020</v>
      </c>
      <c r="H429" s="25"/>
      <c r="I429" s="159">
        <f t="shared" si="13"/>
        <v>30</v>
      </c>
      <c r="J429" s="26"/>
      <c r="K429" s="27"/>
    </row>
    <row r="430" spans="1:11" x14ac:dyDescent="0.25">
      <c r="A430" s="28" t="s">
        <v>874</v>
      </c>
      <c r="B430" s="29" t="s">
        <v>913</v>
      </c>
      <c r="C430" s="37" t="s">
        <v>914</v>
      </c>
      <c r="D430" s="30" t="s">
        <v>44</v>
      </c>
      <c r="E430" s="27"/>
      <c r="F430" s="31">
        <v>1512</v>
      </c>
      <c r="G430" s="22">
        <f t="shared" si="12"/>
        <v>0</v>
      </c>
      <c r="H430" s="25"/>
      <c r="I430" s="159">
        <f t="shared" si="13"/>
        <v>0</v>
      </c>
      <c r="J430" s="26"/>
      <c r="K430" s="27"/>
    </row>
    <row r="431" spans="1:11" x14ac:dyDescent="0.25">
      <c r="A431" s="28" t="s">
        <v>874</v>
      </c>
      <c r="B431" s="29" t="s">
        <v>915</v>
      </c>
      <c r="C431" s="37" t="s">
        <v>916</v>
      </c>
      <c r="D431" s="30" t="s">
        <v>25</v>
      </c>
      <c r="E431" s="27"/>
      <c r="F431" s="31">
        <v>2000</v>
      </c>
      <c r="G431" s="22">
        <f t="shared" si="12"/>
        <v>0</v>
      </c>
      <c r="H431" s="25"/>
      <c r="I431" s="159">
        <f t="shared" si="13"/>
        <v>0</v>
      </c>
      <c r="J431" s="26"/>
      <c r="K431" s="27"/>
    </row>
    <row r="432" spans="1:11" x14ac:dyDescent="0.25">
      <c r="A432" s="28" t="s">
        <v>874</v>
      </c>
      <c r="B432" s="29" t="s">
        <v>917</v>
      </c>
      <c r="C432" s="37" t="s">
        <v>919</v>
      </c>
      <c r="D432" s="30" t="s">
        <v>25</v>
      </c>
      <c r="E432" s="27"/>
      <c r="F432" s="31">
        <v>1471</v>
      </c>
      <c r="G432" s="22">
        <f t="shared" si="12"/>
        <v>0</v>
      </c>
      <c r="H432" s="25"/>
      <c r="I432" s="159">
        <f t="shared" si="13"/>
        <v>0</v>
      </c>
      <c r="J432" s="26"/>
      <c r="K432" s="27"/>
    </row>
    <row r="433" spans="1:11" x14ac:dyDescent="0.25">
      <c r="A433" s="28" t="s">
        <v>874</v>
      </c>
      <c r="B433" s="29" t="s">
        <v>918</v>
      </c>
      <c r="C433" s="37" t="s">
        <v>921</v>
      </c>
      <c r="D433" s="30" t="s">
        <v>44</v>
      </c>
      <c r="E433" s="27">
        <v>11</v>
      </c>
      <c r="F433" s="31">
        <v>2100</v>
      </c>
      <c r="G433" s="22">
        <f t="shared" si="12"/>
        <v>23100</v>
      </c>
      <c r="H433" s="25"/>
      <c r="I433" s="159">
        <f t="shared" si="13"/>
        <v>11</v>
      </c>
      <c r="J433" s="26"/>
      <c r="K433" s="27"/>
    </row>
    <row r="434" spans="1:11" x14ac:dyDescent="0.25">
      <c r="A434" s="28" t="s">
        <v>874</v>
      </c>
      <c r="B434" s="29" t="s">
        <v>920</v>
      </c>
      <c r="C434" s="37" t="s">
        <v>923</v>
      </c>
      <c r="D434" s="30" t="s">
        <v>44</v>
      </c>
      <c r="E434" s="27">
        <v>9</v>
      </c>
      <c r="F434" s="31">
        <v>2100</v>
      </c>
      <c r="G434" s="22">
        <f t="shared" si="12"/>
        <v>18900</v>
      </c>
      <c r="H434" s="25"/>
      <c r="I434" s="159">
        <f t="shared" si="13"/>
        <v>9</v>
      </c>
      <c r="J434" s="26"/>
      <c r="K434" s="27"/>
    </row>
    <row r="435" spans="1:11" x14ac:dyDescent="0.25">
      <c r="A435" s="28" t="s">
        <v>874</v>
      </c>
      <c r="B435" s="29" t="s">
        <v>922</v>
      </c>
      <c r="C435" s="37" t="s">
        <v>925</v>
      </c>
      <c r="D435" s="30" t="s">
        <v>25</v>
      </c>
      <c r="E435" s="27">
        <v>75</v>
      </c>
      <c r="F435" s="31">
        <v>1512</v>
      </c>
      <c r="G435" s="22">
        <f t="shared" si="12"/>
        <v>113400</v>
      </c>
      <c r="H435" s="25"/>
      <c r="I435" s="159">
        <f t="shared" si="13"/>
        <v>75</v>
      </c>
      <c r="J435" s="26"/>
      <c r="K435" s="27"/>
    </row>
    <row r="436" spans="1:11" x14ac:dyDescent="0.25">
      <c r="A436" s="28" t="s">
        <v>874</v>
      </c>
      <c r="B436" s="29" t="s">
        <v>924</v>
      </c>
      <c r="C436" s="37" t="s">
        <v>927</v>
      </c>
      <c r="D436" s="30" t="s">
        <v>25</v>
      </c>
      <c r="E436" s="27"/>
      <c r="F436" s="31">
        <v>2100</v>
      </c>
      <c r="G436" s="22">
        <f t="shared" si="12"/>
        <v>0</v>
      </c>
      <c r="H436" s="25"/>
      <c r="I436" s="159">
        <f t="shared" si="13"/>
        <v>0</v>
      </c>
      <c r="J436" s="26"/>
      <c r="K436" s="27"/>
    </row>
    <row r="437" spans="1:11" x14ac:dyDescent="0.25">
      <c r="A437" s="28" t="s">
        <v>874</v>
      </c>
      <c r="B437" s="29" t="s">
        <v>926</v>
      </c>
      <c r="C437" s="37" t="s">
        <v>929</v>
      </c>
      <c r="D437" s="30" t="s">
        <v>25</v>
      </c>
      <c r="E437" s="27">
        <v>20</v>
      </c>
      <c r="F437" s="31">
        <v>866</v>
      </c>
      <c r="G437" s="22">
        <f t="shared" si="12"/>
        <v>17320</v>
      </c>
      <c r="H437" s="25"/>
      <c r="I437" s="159">
        <f t="shared" si="13"/>
        <v>20</v>
      </c>
      <c r="J437" s="26"/>
      <c r="K437" s="27"/>
    </row>
    <row r="438" spans="1:11" x14ac:dyDescent="0.25">
      <c r="A438" s="28" t="s">
        <v>874</v>
      </c>
      <c r="B438" s="29" t="s">
        <v>928</v>
      </c>
      <c r="C438" s="37" t="s">
        <v>931</v>
      </c>
      <c r="D438" s="30" t="s">
        <v>25</v>
      </c>
      <c r="E438" s="27">
        <v>30</v>
      </c>
      <c r="F438" s="31">
        <v>1008</v>
      </c>
      <c r="G438" s="22">
        <f t="shared" si="12"/>
        <v>30240</v>
      </c>
      <c r="H438" s="25"/>
      <c r="I438" s="159">
        <f t="shared" si="13"/>
        <v>30</v>
      </c>
      <c r="J438" s="26"/>
      <c r="K438" s="27"/>
    </row>
    <row r="439" spans="1:11" x14ac:dyDescent="0.25">
      <c r="A439" s="28" t="s">
        <v>874</v>
      </c>
      <c r="B439" s="29" t="s">
        <v>930</v>
      </c>
      <c r="C439" s="37" t="s">
        <v>933</v>
      </c>
      <c r="D439" s="30" t="s">
        <v>25</v>
      </c>
      <c r="E439" s="27">
        <v>60</v>
      </c>
      <c r="F439" s="31">
        <v>1008</v>
      </c>
      <c r="G439" s="22">
        <f t="shared" si="12"/>
        <v>60480</v>
      </c>
      <c r="H439" s="25"/>
      <c r="I439" s="159">
        <f t="shared" si="13"/>
        <v>60</v>
      </c>
      <c r="J439" s="26"/>
      <c r="K439" s="27"/>
    </row>
    <row r="440" spans="1:11" x14ac:dyDescent="0.25">
      <c r="A440" s="28" t="s">
        <v>874</v>
      </c>
      <c r="B440" s="91" t="s">
        <v>932</v>
      </c>
      <c r="C440" s="37" t="s">
        <v>935</v>
      </c>
      <c r="D440" s="30" t="s">
        <v>25</v>
      </c>
      <c r="E440" s="27"/>
      <c r="F440" s="31">
        <v>800</v>
      </c>
      <c r="G440" s="22">
        <f t="shared" si="12"/>
        <v>0</v>
      </c>
      <c r="H440" s="92"/>
      <c r="I440" s="159">
        <f t="shared" si="13"/>
        <v>0</v>
      </c>
      <c r="J440" s="26"/>
      <c r="K440" s="27"/>
    </row>
    <row r="441" spans="1:11" ht="15.75" thickBot="1" x14ac:dyDescent="0.3">
      <c r="A441" s="28" t="s">
        <v>874</v>
      </c>
      <c r="B441" s="93" t="s">
        <v>934</v>
      </c>
      <c r="C441" s="37" t="s">
        <v>1183</v>
      </c>
      <c r="D441" s="94" t="s">
        <v>25</v>
      </c>
      <c r="E441" s="95"/>
      <c r="F441" s="96">
        <v>2621</v>
      </c>
      <c r="G441" s="22">
        <f t="shared" si="12"/>
        <v>0</v>
      </c>
      <c r="H441" s="92"/>
      <c r="I441" s="159">
        <f t="shared" si="13"/>
        <v>0</v>
      </c>
      <c r="J441" s="26"/>
      <c r="K441" s="27"/>
    </row>
    <row r="442" spans="1:11" ht="46.5" customHeight="1" thickBot="1" x14ac:dyDescent="0.3">
      <c r="A442" s="97"/>
      <c r="B442" s="98" t="s">
        <v>4</v>
      </c>
      <c r="C442" s="99" t="s">
        <v>5</v>
      </c>
      <c r="D442" s="99" t="s">
        <v>6</v>
      </c>
      <c r="E442" s="100"/>
      <c r="F442" s="101" t="s">
        <v>8</v>
      </c>
      <c r="G442" s="14" t="s">
        <v>9</v>
      </c>
      <c r="H442" s="102" t="s">
        <v>10</v>
      </c>
      <c r="I442" s="160" t="s">
        <v>11</v>
      </c>
      <c r="J442" s="103" t="s">
        <v>12</v>
      </c>
      <c r="K442" s="104" t="s">
        <v>13</v>
      </c>
    </row>
    <row r="443" spans="1:11" x14ac:dyDescent="0.25">
      <c r="A443" s="28" t="s">
        <v>936</v>
      </c>
      <c r="B443" s="17" t="s">
        <v>937</v>
      </c>
      <c r="C443" s="18" t="s">
        <v>938</v>
      </c>
      <c r="D443" s="19" t="s">
        <v>25</v>
      </c>
      <c r="E443" s="20">
        <v>1</v>
      </c>
      <c r="F443" s="21">
        <v>9270</v>
      </c>
      <c r="G443" s="22">
        <f t="shared" si="12"/>
        <v>9270</v>
      </c>
      <c r="H443" s="23"/>
      <c r="I443" s="159">
        <f t="shared" ref="I443:I486" si="14">E443-H443</f>
        <v>1</v>
      </c>
      <c r="J443" s="26"/>
      <c r="K443" s="27"/>
    </row>
    <row r="444" spans="1:11" x14ac:dyDescent="0.25">
      <c r="A444" s="28" t="s">
        <v>936</v>
      </c>
      <c r="B444" s="29" t="s">
        <v>939</v>
      </c>
      <c r="C444" s="18" t="s">
        <v>940</v>
      </c>
      <c r="D444" s="30" t="s">
        <v>17</v>
      </c>
      <c r="E444" s="27">
        <v>15</v>
      </c>
      <c r="F444" s="31">
        <v>5346</v>
      </c>
      <c r="G444" s="22">
        <f t="shared" si="12"/>
        <v>80190</v>
      </c>
      <c r="H444" s="25"/>
      <c r="I444" s="159">
        <f t="shared" si="14"/>
        <v>15</v>
      </c>
      <c r="J444" s="26"/>
      <c r="K444" s="27"/>
    </row>
    <row r="445" spans="1:11" x14ac:dyDescent="0.25">
      <c r="A445" s="28" t="s">
        <v>936</v>
      </c>
      <c r="B445" s="29" t="s">
        <v>941</v>
      </c>
      <c r="C445" s="18" t="s">
        <v>942</v>
      </c>
      <c r="D445" s="30" t="s">
        <v>17</v>
      </c>
      <c r="E445" s="27">
        <v>8</v>
      </c>
      <c r="F445" s="31">
        <v>8180</v>
      </c>
      <c r="G445" s="22">
        <f t="shared" si="12"/>
        <v>65440</v>
      </c>
      <c r="H445" s="25"/>
      <c r="I445" s="159">
        <f t="shared" si="14"/>
        <v>8</v>
      </c>
      <c r="J445" s="26"/>
      <c r="K445" s="27"/>
    </row>
    <row r="446" spans="1:11" x14ac:dyDescent="0.25">
      <c r="A446" s="28" t="s">
        <v>936</v>
      </c>
      <c r="B446" s="29" t="s">
        <v>943</v>
      </c>
      <c r="C446" s="18" t="s">
        <v>944</v>
      </c>
      <c r="D446" s="30" t="s">
        <v>17</v>
      </c>
      <c r="E446" s="27">
        <v>10</v>
      </c>
      <c r="F446" s="31">
        <v>8648</v>
      </c>
      <c r="G446" s="22">
        <f t="shared" si="12"/>
        <v>86480</v>
      </c>
      <c r="H446" s="25"/>
      <c r="I446" s="159">
        <f t="shared" si="14"/>
        <v>10</v>
      </c>
      <c r="J446" s="26"/>
      <c r="K446" s="27"/>
    </row>
    <row r="447" spans="1:11" x14ac:dyDescent="0.25">
      <c r="A447" s="28" t="s">
        <v>936</v>
      </c>
      <c r="B447" s="29" t="s">
        <v>945</v>
      </c>
      <c r="C447" s="18" t="s">
        <v>946</v>
      </c>
      <c r="D447" s="30" t="s">
        <v>17</v>
      </c>
      <c r="E447" s="27">
        <v>21.85</v>
      </c>
      <c r="F447" s="31">
        <v>5799</v>
      </c>
      <c r="G447" s="22">
        <f t="shared" si="12"/>
        <v>126708.15000000001</v>
      </c>
      <c r="H447" s="25"/>
      <c r="I447" s="159">
        <f t="shared" si="14"/>
        <v>21.85</v>
      </c>
      <c r="J447" s="26"/>
      <c r="K447" s="27"/>
    </row>
    <row r="448" spans="1:11" x14ac:dyDescent="0.25">
      <c r="A448" s="28" t="s">
        <v>936</v>
      </c>
      <c r="B448" s="29" t="s">
        <v>947</v>
      </c>
      <c r="C448" s="18" t="s">
        <v>948</v>
      </c>
      <c r="D448" s="30" t="s">
        <v>44</v>
      </c>
      <c r="E448" s="27">
        <v>120</v>
      </c>
      <c r="F448" s="31">
        <v>766</v>
      </c>
      <c r="G448" s="22">
        <f t="shared" si="12"/>
        <v>91920</v>
      </c>
      <c r="H448" s="25"/>
      <c r="I448" s="159">
        <f t="shared" si="14"/>
        <v>120</v>
      </c>
      <c r="J448" s="26"/>
      <c r="K448" s="27"/>
    </row>
    <row r="449" spans="1:11" x14ac:dyDescent="0.25">
      <c r="A449" s="28" t="s">
        <v>936</v>
      </c>
      <c r="B449" s="29" t="s">
        <v>949</v>
      </c>
      <c r="C449" s="18" t="s">
        <v>950</v>
      </c>
      <c r="D449" s="30" t="s">
        <v>44</v>
      </c>
      <c r="E449" s="27">
        <v>135</v>
      </c>
      <c r="F449" s="31">
        <v>940</v>
      </c>
      <c r="G449" s="22">
        <f t="shared" si="12"/>
        <v>126900</v>
      </c>
      <c r="H449" s="25"/>
      <c r="I449" s="159">
        <f t="shared" si="14"/>
        <v>135</v>
      </c>
      <c r="J449" s="26"/>
      <c r="K449" s="27"/>
    </row>
    <row r="450" spans="1:11" x14ac:dyDescent="0.25">
      <c r="A450" s="28" t="s">
        <v>936</v>
      </c>
      <c r="B450" s="29" t="s">
        <v>951</v>
      </c>
      <c r="C450" s="18" t="s">
        <v>952</v>
      </c>
      <c r="D450" s="30" t="s">
        <v>44</v>
      </c>
      <c r="E450" s="27">
        <v>93</v>
      </c>
      <c r="F450" s="31">
        <v>990</v>
      </c>
      <c r="G450" s="22">
        <f t="shared" si="12"/>
        <v>92070</v>
      </c>
      <c r="H450" s="25"/>
      <c r="I450" s="159">
        <f t="shared" si="14"/>
        <v>93</v>
      </c>
      <c r="J450" s="26"/>
      <c r="K450" s="27"/>
    </row>
    <row r="451" spans="1:11" x14ac:dyDescent="0.25">
      <c r="A451" s="28" t="s">
        <v>936</v>
      </c>
      <c r="B451" s="29" t="s">
        <v>953</v>
      </c>
      <c r="C451" s="18" t="s">
        <v>954</v>
      </c>
      <c r="D451" s="30" t="s">
        <v>17</v>
      </c>
      <c r="E451" s="27">
        <v>21.85</v>
      </c>
      <c r="F451" s="33">
        <v>11688.2</v>
      </c>
      <c r="G451" s="22">
        <f t="shared" si="12"/>
        <v>255387.17000000004</v>
      </c>
      <c r="H451" s="25"/>
      <c r="I451" s="159">
        <f t="shared" si="14"/>
        <v>21.85</v>
      </c>
      <c r="J451" s="26"/>
      <c r="K451" s="27"/>
    </row>
    <row r="452" spans="1:11" x14ac:dyDescent="0.25">
      <c r="A452" s="28" t="s">
        <v>936</v>
      </c>
      <c r="B452" s="29" t="s">
        <v>955</v>
      </c>
      <c r="C452" s="18" t="s">
        <v>956</v>
      </c>
      <c r="D452" s="30" t="s">
        <v>17</v>
      </c>
      <c r="E452" s="27">
        <v>16</v>
      </c>
      <c r="F452" s="31">
        <v>11581.2</v>
      </c>
      <c r="G452" s="22">
        <f t="shared" si="12"/>
        <v>185299.20000000001</v>
      </c>
      <c r="H452" s="25"/>
      <c r="I452" s="159">
        <f t="shared" si="14"/>
        <v>16</v>
      </c>
      <c r="J452" s="26"/>
      <c r="K452" s="27"/>
    </row>
    <row r="453" spans="1:11" x14ac:dyDescent="0.25">
      <c r="A453" s="28" t="s">
        <v>936</v>
      </c>
      <c r="B453" s="29" t="s">
        <v>957</v>
      </c>
      <c r="C453" s="18" t="s">
        <v>958</v>
      </c>
      <c r="D453" s="30" t="s">
        <v>17</v>
      </c>
      <c r="E453" s="27">
        <v>5</v>
      </c>
      <c r="F453" s="31">
        <v>4650</v>
      </c>
      <c r="G453" s="22">
        <f t="shared" si="12"/>
        <v>23250</v>
      </c>
      <c r="H453" s="25"/>
      <c r="I453" s="159">
        <f t="shared" si="14"/>
        <v>5</v>
      </c>
      <c r="J453" s="26"/>
      <c r="K453" s="27"/>
    </row>
    <row r="454" spans="1:11" x14ac:dyDescent="0.25">
      <c r="A454" s="28" t="s">
        <v>936</v>
      </c>
      <c r="B454" s="29" t="s">
        <v>959</v>
      </c>
      <c r="C454" s="18" t="s">
        <v>960</v>
      </c>
      <c r="D454" s="30" t="s">
        <v>17</v>
      </c>
      <c r="E454" s="27">
        <v>6</v>
      </c>
      <c r="F454" s="31">
        <v>4650</v>
      </c>
      <c r="G454" s="22">
        <f t="shared" si="12"/>
        <v>27900</v>
      </c>
      <c r="H454" s="25"/>
      <c r="I454" s="159">
        <f t="shared" si="14"/>
        <v>6</v>
      </c>
      <c r="J454" s="26"/>
      <c r="K454" s="27"/>
    </row>
    <row r="455" spans="1:11" x14ac:dyDescent="0.25">
      <c r="A455" s="28" t="s">
        <v>936</v>
      </c>
      <c r="B455" s="29" t="s">
        <v>961</v>
      </c>
      <c r="C455" s="18" t="s">
        <v>962</v>
      </c>
      <c r="D455" s="30" t="s">
        <v>17</v>
      </c>
      <c r="E455" s="27"/>
      <c r="F455" s="31">
        <v>6662</v>
      </c>
      <c r="G455" s="22">
        <f t="shared" si="12"/>
        <v>0</v>
      </c>
      <c r="H455" s="25"/>
      <c r="I455" s="159">
        <f t="shared" si="14"/>
        <v>0</v>
      </c>
      <c r="J455" s="26"/>
      <c r="K455" s="27"/>
    </row>
    <row r="456" spans="1:11" x14ac:dyDescent="0.25">
      <c r="A456" s="28" t="s">
        <v>936</v>
      </c>
      <c r="B456" s="29" t="s">
        <v>963</v>
      </c>
      <c r="C456" s="18" t="s">
        <v>964</v>
      </c>
      <c r="D456" s="30" t="s">
        <v>17</v>
      </c>
      <c r="E456" s="27"/>
      <c r="F456" s="31">
        <v>8417</v>
      </c>
      <c r="G456" s="22">
        <f t="shared" si="12"/>
        <v>0</v>
      </c>
      <c r="H456" s="25"/>
      <c r="I456" s="159">
        <f t="shared" si="14"/>
        <v>0</v>
      </c>
      <c r="J456" s="26"/>
      <c r="K456" s="27"/>
    </row>
    <row r="457" spans="1:11" x14ac:dyDescent="0.25">
      <c r="A457" s="28" t="s">
        <v>936</v>
      </c>
      <c r="B457" s="29" t="s">
        <v>965</v>
      </c>
      <c r="C457" s="18" t="s">
        <v>966</v>
      </c>
      <c r="D457" s="30" t="s">
        <v>17</v>
      </c>
      <c r="E457" s="27">
        <v>16</v>
      </c>
      <c r="F457" s="31">
        <v>15081</v>
      </c>
      <c r="G457" s="22">
        <f t="shared" si="12"/>
        <v>241296</v>
      </c>
      <c r="H457" s="25"/>
      <c r="I457" s="159">
        <f t="shared" si="14"/>
        <v>16</v>
      </c>
      <c r="J457" s="26"/>
      <c r="K457" s="27"/>
    </row>
    <row r="458" spans="1:11" x14ac:dyDescent="0.25">
      <c r="A458" s="28" t="s">
        <v>936</v>
      </c>
      <c r="B458" s="29" t="s">
        <v>967</v>
      </c>
      <c r="C458" s="18" t="s">
        <v>1190</v>
      </c>
      <c r="D458" s="30" t="s">
        <v>17</v>
      </c>
      <c r="E458" s="27">
        <v>18</v>
      </c>
      <c r="F458" s="31">
        <v>3548</v>
      </c>
      <c r="G458" s="22">
        <f t="shared" si="12"/>
        <v>63864</v>
      </c>
      <c r="H458" s="25"/>
      <c r="I458" s="159">
        <f t="shared" si="14"/>
        <v>18</v>
      </c>
      <c r="J458" s="26"/>
      <c r="K458" s="27"/>
    </row>
    <row r="459" spans="1:11" x14ac:dyDescent="0.25">
      <c r="A459" s="28" t="s">
        <v>936</v>
      </c>
      <c r="B459" s="29" t="s">
        <v>969</v>
      </c>
      <c r="C459" s="18" t="s">
        <v>968</v>
      </c>
      <c r="D459" s="30" t="s">
        <v>17</v>
      </c>
      <c r="E459" s="27">
        <v>7.56</v>
      </c>
      <c r="F459" s="31">
        <v>29577.599999999999</v>
      </c>
      <c r="G459" s="22">
        <f t="shared" si="12"/>
        <v>223606.65599999999</v>
      </c>
      <c r="H459" s="25"/>
      <c r="I459" s="159">
        <f t="shared" si="14"/>
        <v>7.56</v>
      </c>
      <c r="J459" s="26"/>
      <c r="K459" s="27"/>
    </row>
    <row r="460" spans="1:11" x14ac:dyDescent="0.25">
      <c r="A460" s="28" t="s">
        <v>936</v>
      </c>
      <c r="B460" s="29" t="s">
        <v>971</v>
      </c>
      <c r="C460" s="18" t="s">
        <v>1191</v>
      </c>
      <c r="D460" s="30" t="s">
        <v>17</v>
      </c>
      <c r="E460" s="27">
        <v>20</v>
      </c>
      <c r="F460" s="31">
        <v>10246</v>
      </c>
      <c r="G460" s="22">
        <f t="shared" si="12"/>
        <v>204920</v>
      </c>
      <c r="H460" s="25"/>
      <c r="I460" s="159">
        <f t="shared" si="14"/>
        <v>20</v>
      </c>
      <c r="J460" s="26"/>
      <c r="K460" s="27"/>
    </row>
    <row r="461" spans="1:11" x14ac:dyDescent="0.25">
      <c r="A461" s="28" t="s">
        <v>973</v>
      </c>
      <c r="B461" s="29" t="s">
        <v>974</v>
      </c>
      <c r="C461" s="18" t="s">
        <v>970</v>
      </c>
      <c r="D461" s="73" t="s">
        <v>17</v>
      </c>
      <c r="E461" s="27">
        <v>25</v>
      </c>
      <c r="F461" s="33">
        <v>334.45</v>
      </c>
      <c r="G461" s="22">
        <f t="shared" si="12"/>
        <v>8361.25</v>
      </c>
      <c r="H461" s="25"/>
      <c r="I461" s="159">
        <f t="shared" si="14"/>
        <v>25</v>
      </c>
      <c r="J461" s="26"/>
      <c r="K461" s="27"/>
    </row>
    <row r="462" spans="1:11" x14ac:dyDescent="0.25">
      <c r="A462" s="28" t="s">
        <v>973</v>
      </c>
      <c r="B462" s="29" t="s">
        <v>976</v>
      </c>
      <c r="C462" s="18" t="s">
        <v>972</v>
      </c>
      <c r="D462" s="30" t="s">
        <v>44</v>
      </c>
      <c r="E462" s="27">
        <v>20</v>
      </c>
      <c r="F462" s="31">
        <v>8298</v>
      </c>
      <c r="G462" s="22">
        <f t="shared" ref="G462:G526" si="15">E462*F462</f>
        <v>165960</v>
      </c>
      <c r="H462" s="25"/>
      <c r="I462" s="159">
        <f t="shared" si="14"/>
        <v>20</v>
      </c>
      <c r="J462" s="26"/>
      <c r="K462" s="27"/>
    </row>
    <row r="463" spans="1:11" x14ac:dyDescent="0.25">
      <c r="A463" s="28" t="s">
        <v>973</v>
      </c>
      <c r="B463" s="29" t="s">
        <v>978</v>
      </c>
      <c r="C463" s="18" t="s">
        <v>1192</v>
      </c>
      <c r="D463" s="30" t="s">
        <v>44</v>
      </c>
      <c r="E463" s="27">
        <v>473</v>
      </c>
      <c r="F463" s="31">
        <v>167.63</v>
      </c>
      <c r="G463" s="22">
        <f t="shared" si="15"/>
        <v>79288.989999999991</v>
      </c>
      <c r="H463" s="25"/>
      <c r="I463" s="159">
        <f t="shared" si="14"/>
        <v>473</v>
      </c>
      <c r="J463" s="26"/>
      <c r="K463" s="27"/>
    </row>
    <row r="464" spans="1:11" x14ac:dyDescent="0.25">
      <c r="A464" s="28" t="s">
        <v>973</v>
      </c>
      <c r="B464" s="29" t="s">
        <v>980</v>
      </c>
      <c r="C464" s="18" t="s">
        <v>975</v>
      </c>
      <c r="D464" s="30" t="s">
        <v>44</v>
      </c>
      <c r="E464" s="27">
        <v>230</v>
      </c>
      <c r="F464" s="31">
        <v>55.26</v>
      </c>
      <c r="G464" s="22">
        <f t="shared" si="15"/>
        <v>12709.8</v>
      </c>
      <c r="H464" s="25"/>
      <c r="I464" s="159">
        <f t="shared" si="14"/>
        <v>230</v>
      </c>
      <c r="J464" s="26"/>
      <c r="K464" s="27"/>
    </row>
    <row r="465" spans="1:11" x14ac:dyDescent="0.25">
      <c r="A465" s="28" t="s">
        <v>973</v>
      </c>
      <c r="B465" s="29" t="s">
        <v>982</v>
      </c>
      <c r="C465" s="18" t="s">
        <v>977</v>
      </c>
      <c r="D465" s="30" t="s">
        <v>44</v>
      </c>
      <c r="E465" s="27">
        <v>280</v>
      </c>
      <c r="F465" s="31">
        <v>112.5</v>
      </c>
      <c r="G465" s="22">
        <f t="shared" si="15"/>
        <v>31500</v>
      </c>
      <c r="H465" s="25"/>
      <c r="I465" s="159">
        <f t="shared" si="14"/>
        <v>280</v>
      </c>
      <c r="J465" s="26"/>
      <c r="K465" s="27"/>
    </row>
    <row r="466" spans="1:11" x14ac:dyDescent="0.25">
      <c r="A466" s="28" t="s">
        <v>973</v>
      </c>
      <c r="B466" s="29" t="s">
        <v>984</v>
      </c>
      <c r="C466" s="18" t="s">
        <v>979</v>
      </c>
      <c r="D466" s="30" t="s">
        <v>44</v>
      </c>
      <c r="E466" s="27"/>
      <c r="F466" s="31">
        <v>146.16</v>
      </c>
      <c r="G466" s="22">
        <f t="shared" si="15"/>
        <v>0</v>
      </c>
      <c r="H466" s="25"/>
      <c r="I466" s="159">
        <f t="shared" si="14"/>
        <v>0</v>
      </c>
      <c r="J466" s="26"/>
      <c r="K466" s="27"/>
    </row>
    <row r="467" spans="1:11" x14ac:dyDescent="0.25">
      <c r="A467" s="28" t="s">
        <v>973</v>
      </c>
      <c r="B467" s="29" t="s">
        <v>986</v>
      </c>
      <c r="C467" s="18" t="s">
        <v>981</v>
      </c>
      <c r="D467" s="30" t="s">
        <v>44</v>
      </c>
      <c r="E467" s="27">
        <v>113</v>
      </c>
      <c r="F467" s="31">
        <v>82.736000000000004</v>
      </c>
      <c r="G467" s="22">
        <f t="shared" si="15"/>
        <v>9349.1679999999997</v>
      </c>
      <c r="H467" s="25"/>
      <c r="I467" s="159">
        <f t="shared" si="14"/>
        <v>113</v>
      </c>
      <c r="J467" s="26"/>
      <c r="K467" s="27"/>
    </row>
    <row r="468" spans="1:11" x14ac:dyDescent="0.25">
      <c r="A468" s="28" t="s">
        <v>973</v>
      </c>
      <c r="B468" s="29" t="s">
        <v>988</v>
      </c>
      <c r="C468" s="18" t="s">
        <v>983</v>
      </c>
      <c r="D468" s="30" t="s">
        <v>44</v>
      </c>
      <c r="E468" s="27">
        <v>19</v>
      </c>
      <c r="F468" s="31">
        <v>1896</v>
      </c>
      <c r="G468" s="22">
        <f t="shared" si="15"/>
        <v>36024</v>
      </c>
      <c r="H468" s="25"/>
      <c r="I468" s="159">
        <f t="shared" si="14"/>
        <v>19</v>
      </c>
      <c r="J468" s="26"/>
      <c r="K468" s="27"/>
    </row>
    <row r="469" spans="1:11" x14ac:dyDescent="0.25">
      <c r="A469" s="28" t="s">
        <v>973</v>
      </c>
      <c r="B469" s="29" t="s">
        <v>990</v>
      </c>
      <c r="C469" s="18" t="s">
        <v>985</v>
      </c>
      <c r="D469" s="30" t="s">
        <v>44</v>
      </c>
      <c r="E469" s="27">
        <v>20</v>
      </c>
      <c r="F469" s="31">
        <v>864</v>
      </c>
      <c r="G469" s="22">
        <f t="shared" si="15"/>
        <v>17280</v>
      </c>
      <c r="H469" s="25"/>
      <c r="I469" s="159">
        <f t="shared" si="14"/>
        <v>20</v>
      </c>
      <c r="J469" s="26"/>
      <c r="K469" s="27"/>
    </row>
    <row r="470" spans="1:11" x14ac:dyDescent="0.25">
      <c r="A470" s="28" t="s">
        <v>973</v>
      </c>
      <c r="B470" s="29" t="s">
        <v>992</v>
      </c>
      <c r="C470" s="18" t="s">
        <v>987</v>
      </c>
      <c r="D470" s="30" t="s">
        <v>44</v>
      </c>
      <c r="E470" s="27">
        <v>44</v>
      </c>
      <c r="F470" s="31">
        <v>182.7</v>
      </c>
      <c r="G470" s="22">
        <f t="shared" si="15"/>
        <v>8038.7999999999993</v>
      </c>
      <c r="H470" s="25"/>
      <c r="I470" s="159">
        <f t="shared" si="14"/>
        <v>44</v>
      </c>
      <c r="J470" s="26"/>
      <c r="K470" s="27"/>
    </row>
    <row r="471" spans="1:11" x14ac:dyDescent="0.25">
      <c r="A471" s="28" t="s">
        <v>973</v>
      </c>
      <c r="B471" s="29" t="s">
        <v>994</v>
      </c>
      <c r="C471" s="18" t="s">
        <v>989</v>
      </c>
      <c r="D471" s="30" t="s">
        <v>44</v>
      </c>
      <c r="E471" s="27">
        <v>16</v>
      </c>
      <c r="F471" s="31">
        <v>2108</v>
      </c>
      <c r="G471" s="22">
        <f t="shared" si="15"/>
        <v>33728</v>
      </c>
      <c r="H471" s="25"/>
      <c r="I471" s="159">
        <f t="shared" si="14"/>
        <v>16</v>
      </c>
      <c r="J471" s="26"/>
      <c r="K471" s="27"/>
    </row>
    <row r="472" spans="1:11" x14ac:dyDescent="0.25">
      <c r="A472" s="28" t="s">
        <v>973</v>
      </c>
      <c r="B472" s="29" t="s">
        <v>996</v>
      </c>
      <c r="C472" s="18" t="s">
        <v>991</v>
      </c>
      <c r="D472" s="30" t="s">
        <v>44</v>
      </c>
      <c r="E472" s="27">
        <v>21</v>
      </c>
      <c r="F472" s="31">
        <v>1960.2</v>
      </c>
      <c r="G472" s="22">
        <f t="shared" si="15"/>
        <v>41164.200000000004</v>
      </c>
      <c r="H472" s="25"/>
      <c r="I472" s="159">
        <f t="shared" si="14"/>
        <v>21</v>
      </c>
      <c r="J472" s="26"/>
      <c r="K472" s="27"/>
    </row>
    <row r="473" spans="1:11" x14ac:dyDescent="0.25">
      <c r="A473" s="28" t="s">
        <v>973</v>
      </c>
      <c r="B473" s="29" t="s">
        <v>998</v>
      </c>
      <c r="C473" s="18" t="s">
        <v>993</v>
      </c>
      <c r="D473" s="30" t="s">
        <v>44</v>
      </c>
      <c r="E473" s="27">
        <v>5</v>
      </c>
      <c r="F473" s="31">
        <v>1960.2</v>
      </c>
      <c r="G473" s="22">
        <f t="shared" si="15"/>
        <v>9801</v>
      </c>
      <c r="H473" s="25"/>
      <c r="I473" s="159">
        <f t="shared" si="14"/>
        <v>5</v>
      </c>
      <c r="J473" s="26"/>
      <c r="K473" s="27"/>
    </row>
    <row r="474" spans="1:11" x14ac:dyDescent="0.25">
      <c r="A474" s="28" t="s">
        <v>973</v>
      </c>
      <c r="B474" s="29" t="s">
        <v>1000</v>
      </c>
      <c r="C474" s="18" t="s">
        <v>995</v>
      </c>
      <c r="D474" s="30" t="s">
        <v>44</v>
      </c>
      <c r="E474" s="27"/>
      <c r="F474" s="31">
        <v>1005</v>
      </c>
      <c r="G474" s="22">
        <f t="shared" si="15"/>
        <v>0</v>
      </c>
      <c r="H474" s="25"/>
      <c r="I474" s="159">
        <f t="shared" si="14"/>
        <v>0</v>
      </c>
      <c r="J474" s="26"/>
      <c r="K474" s="27"/>
    </row>
    <row r="475" spans="1:11" x14ac:dyDescent="0.25">
      <c r="A475" s="28" t="s">
        <v>973</v>
      </c>
      <c r="B475" s="29" t="s">
        <v>1002</v>
      </c>
      <c r="C475" s="18" t="s">
        <v>997</v>
      </c>
      <c r="D475" s="30" t="s">
        <v>44</v>
      </c>
      <c r="E475" s="27"/>
      <c r="F475" s="31">
        <v>2054</v>
      </c>
      <c r="G475" s="22">
        <f t="shared" si="15"/>
        <v>0</v>
      </c>
      <c r="H475" s="25"/>
      <c r="I475" s="159">
        <f t="shared" si="14"/>
        <v>0</v>
      </c>
      <c r="J475" s="26"/>
      <c r="K475" s="27"/>
    </row>
    <row r="476" spans="1:11" s="198" customFormat="1" x14ac:dyDescent="0.25">
      <c r="A476" s="189" t="s">
        <v>973</v>
      </c>
      <c r="B476" s="183" t="s">
        <v>1189</v>
      </c>
      <c r="C476" s="199" t="s">
        <v>999</v>
      </c>
      <c r="D476" s="185" t="s">
        <v>44</v>
      </c>
      <c r="E476" s="186">
        <v>21</v>
      </c>
      <c r="F476" s="187"/>
      <c r="G476" s="188">
        <f t="shared" si="15"/>
        <v>0</v>
      </c>
      <c r="H476" s="195"/>
      <c r="I476" s="196">
        <f t="shared" si="14"/>
        <v>21</v>
      </c>
      <c r="J476" s="197"/>
      <c r="K476" s="186"/>
    </row>
    <row r="477" spans="1:11" x14ac:dyDescent="0.25">
      <c r="A477" s="28" t="s">
        <v>973</v>
      </c>
      <c r="B477" s="29" t="s">
        <v>1004</v>
      </c>
      <c r="C477" s="18" t="s">
        <v>1001</v>
      </c>
      <c r="D477" s="30" t="s">
        <v>44</v>
      </c>
      <c r="E477" s="27">
        <v>2</v>
      </c>
      <c r="F477" s="31">
        <v>9244</v>
      </c>
      <c r="G477" s="22">
        <f t="shared" si="15"/>
        <v>18488</v>
      </c>
      <c r="H477" s="25"/>
      <c r="I477" s="159">
        <f t="shared" si="14"/>
        <v>2</v>
      </c>
      <c r="J477" s="26"/>
      <c r="K477" s="27"/>
    </row>
    <row r="478" spans="1:11" x14ac:dyDescent="0.25">
      <c r="A478" s="28" t="s">
        <v>973</v>
      </c>
      <c r="B478" s="29" t="s">
        <v>1006</v>
      </c>
      <c r="C478" s="18" t="s">
        <v>1003</v>
      </c>
      <c r="D478" s="30" t="s">
        <v>44</v>
      </c>
      <c r="E478" s="27"/>
      <c r="F478" s="31">
        <v>2420</v>
      </c>
      <c r="G478" s="22">
        <f t="shared" si="15"/>
        <v>0</v>
      </c>
      <c r="H478" s="25"/>
      <c r="I478" s="159">
        <f t="shared" si="14"/>
        <v>0</v>
      </c>
      <c r="J478" s="26"/>
      <c r="K478" s="27"/>
    </row>
    <row r="479" spans="1:11" x14ac:dyDescent="0.25">
      <c r="A479" s="28" t="s">
        <v>973</v>
      </c>
      <c r="B479" s="29" t="s">
        <v>1008</v>
      </c>
      <c r="C479" s="18" t="s">
        <v>1005</v>
      </c>
      <c r="D479" s="30" t="s">
        <v>44</v>
      </c>
      <c r="E479" s="27"/>
      <c r="F479" s="31">
        <v>4881.6000000000004</v>
      </c>
      <c r="G479" s="22">
        <f t="shared" si="15"/>
        <v>0</v>
      </c>
      <c r="H479" s="25"/>
      <c r="I479" s="159">
        <f t="shared" si="14"/>
        <v>0</v>
      </c>
      <c r="J479" s="26"/>
      <c r="K479" s="27"/>
    </row>
    <row r="480" spans="1:11" x14ac:dyDescent="0.25">
      <c r="A480" s="28" t="s">
        <v>973</v>
      </c>
      <c r="B480" s="29" t="s">
        <v>1010</v>
      </c>
      <c r="C480" s="18" t="s">
        <v>1007</v>
      </c>
      <c r="D480" s="30" t="s">
        <v>44</v>
      </c>
      <c r="E480" s="27">
        <v>20</v>
      </c>
      <c r="F480" s="31">
        <v>5019</v>
      </c>
      <c r="G480" s="22">
        <f t="shared" si="15"/>
        <v>100380</v>
      </c>
      <c r="H480" s="25"/>
      <c r="I480" s="159">
        <f t="shared" si="14"/>
        <v>20</v>
      </c>
      <c r="J480" s="26"/>
      <c r="K480" s="27"/>
    </row>
    <row r="481" spans="1:11" x14ac:dyDescent="0.25">
      <c r="A481" s="28" t="s">
        <v>973</v>
      </c>
      <c r="B481" s="29" t="s">
        <v>1012</v>
      </c>
      <c r="C481" s="18" t="s">
        <v>1009</v>
      </c>
      <c r="D481" s="30" t="s">
        <v>44</v>
      </c>
      <c r="E481" s="27">
        <v>10</v>
      </c>
      <c r="F481" s="31">
        <v>3338.1</v>
      </c>
      <c r="G481" s="22">
        <f t="shared" si="15"/>
        <v>33381</v>
      </c>
      <c r="H481" s="25"/>
      <c r="I481" s="159">
        <f t="shared" si="14"/>
        <v>10</v>
      </c>
      <c r="J481" s="26"/>
      <c r="K481" s="27"/>
    </row>
    <row r="482" spans="1:11" x14ac:dyDescent="0.25">
      <c r="A482" s="28" t="s">
        <v>973</v>
      </c>
      <c r="B482" s="29" t="s">
        <v>1014</v>
      </c>
      <c r="C482" s="18" t="s">
        <v>1011</v>
      </c>
      <c r="D482" s="30" t="s">
        <v>44</v>
      </c>
      <c r="E482" s="27">
        <v>10</v>
      </c>
      <c r="F482" s="31">
        <v>3120</v>
      </c>
      <c r="G482" s="22">
        <f t="shared" si="15"/>
        <v>31200</v>
      </c>
      <c r="H482" s="25"/>
      <c r="I482" s="159">
        <f t="shared" si="14"/>
        <v>10</v>
      </c>
      <c r="J482" s="26"/>
      <c r="K482" s="27"/>
    </row>
    <row r="483" spans="1:11" x14ac:dyDescent="0.25">
      <c r="A483" s="28" t="s">
        <v>973</v>
      </c>
      <c r="B483" s="29" t="s">
        <v>1016</v>
      </c>
      <c r="C483" s="18" t="s">
        <v>1013</v>
      </c>
      <c r="D483" s="30" t="s">
        <v>44</v>
      </c>
      <c r="E483" s="27"/>
      <c r="F483" s="56"/>
      <c r="G483" s="22">
        <f t="shared" si="15"/>
        <v>0</v>
      </c>
      <c r="H483" s="25"/>
      <c r="I483" s="159">
        <f t="shared" si="14"/>
        <v>0</v>
      </c>
      <c r="J483" s="26"/>
      <c r="K483" s="27"/>
    </row>
    <row r="484" spans="1:11" x14ac:dyDescent="0.25">
      <c r="A484" s="28" t="s">
        <v>973</v>
      </c>
      <c r="B484" s="29" t="s">
        <v>1018</v>
      </c>
      <c r="C484" s="18" t="s">
        <v>1015</v>
      </c>
      <c r="D484" s="30" t="s">
        <v>44</v>
      </c>
      <c r="E484" s="27">
        <v>19</v>
      </c>
      <c r="F484" s="31">
        <v>5217.2910000000002</v>
      </c>
      <c r="G484" s="22">
        <f t="shared" si="15"/>
        <v>99128.52900000001</v>
      </c>
      <c r="H484" s="25"/>
      <c r="I484" s="159">
        <f t="shared" si="14"/>
        <v>19</v>
      </c>
      <c r="J484" s="26"/>
      <c r="K484" s="27"/>
    </row>
    <row r="485" spans="1:11" x14ac:dyDescent="0.25">
      <c r="A485" s="28" t="s">
        <v>973</v>
      </c>
      <c r="B485" s="29" t="s">
        <v>1020</v>
      </c>
      <c r="C485" s="18" t="s">
        <v>1017</v>
      </c>
      <c r="D485" s="30" t="s">
        <v>44</v>
      </c>
      <c r="E485" s="27"/>
      <c r="F485" s="31">
        <v>4920.5</v>
      </c>
      <c r="G485" s="22">
        <f t="shared" si="15"/>
        <v>0</v>
      </c>
      <c r="H485" s="25"/>
      <c r="I485" s="159">
        <f t="shared" si="14"/>
        <v>0</v>
      </c>
      <c r="J485" s="26"/>
      <c r="K485" s="27"/>
    </row>
    <row r="486" spans="1:11" x14ac:dyDescent="0.25">
      <c r="A486" s="28" t="s">
        <v>973</v>
      </c>
      <c r="B486" s="29" t="s">
        <v>1022</v>
      </c>
      <c r="C486" s="18" t="s">
        <v>1019</v>
      </c>
      <c r="D486" s="30" t="s">
        <v>44</v>
      </c>
      <c r="E486" s="27">
        <v>103</v>
      </c>
      <c r="F486" s="58">
        <v>2649.5</v>
      </c>
      <c r="G486" s="22">
        <f t="shared" si="15"/>
        <v>272898.5</v>
      </c>
      <c r="H486" s="27"/>
      <c r="I486" s="159">
        <f t="shared" si="14"/>
        <v>103</v>
      </c>
      <c r="J486" s="26"/>
      <c r="K486" s="27"/>
    </row>
    <row r="487" spans="1:11" x14ac:dyDescent="0.25">
      <c r="A487" s="28" t="s">
        <v>973</v>
      </c>
      <c r="B487" s="29" t="s">
        <v>1024</v>
      </c>
      <c r="C487" s="18" t="s">
        <v>1021</v>
      </c>
      <c r="D487" s="19" t="s">
        <v>44</v>
      </c>
      <c r="E487" s="20"/>
      <c r="F487" s="105"/>
      <c r="G487" s="22">
        <f t="shared" si="15"/>
        <v>0</v>
      </c>
      <c r="H487" s="23"/>
      <c r="I487" s="159">
        <f>E487-H487</f>
        <v>0</v>
      </c>
      <c r="J487" s="24"/>
      <c r="K487" s="20"/>
    </row>
    <row r="488" spans="1:11" x14ac:dyDescent="0.25">
      <c r="A488" s="28" t="s">
        <v>973</v>
      </c>
      <c r="B488" s="91" t="s">
        <v>1026</v>
      </c>
      <c r="C488" s="18" t="s">
        <v>1023</v>
      </c>
      <c r="D488" s="106" t="s">
        <v>17</v>
      </c>
      <c r="E488" s="107"/>
      <c r="F488" s="96">
        <v>420</v>
      </c>
      <c r="G488" s="22">
        <f t="shared" si="15"/>
        <v>0</v>
      </c>
      <c r="H488" s="92"/>
      <c r="I488" s="159">
        <f>E488-H488</f>
        <v>0</v>
      </c>
      <c r="J488" s="108"/>
      <c r="K488" s="107"/>
    </row>
    <row r="489" spans="1:11" s="113" customFormat="1" ht="15.75" thickBot="1" x14ac:dyDescent="0.3">
      <c r="A489" s="109" t="s">
        <v>973</v>
      </c>
      <c r="B489" s="110" t="s">
        <v>1027</v>
      </c>
      <c r="C489" s="18" t="s">
        <v>1025</v>
      </c>
      <c r="D489" s="106" t="s">
        <v>17</v>
      </c>
      <c r="E489" s="107">
        <v>135</v>
      </c>
      <c r="F489" s="111">
        <v>5250</v>
      </c>
      <c r="G489" s="112">
        <f t="shared" si="15"/>
        <v>708750</v>
      </c>
      <c r="H489" s="107"/>
      <c r="I489" s="161">
        <f>E489-H489</f>
        <v>135</v>
      </c>
      <c r="J489" s="108"/>
      <c r="K489" s="107"/>
    </row>
    <row r="490" spans="1:11" ht="60.75" thickBot="1" x14ac:dyDescent="0.3">
      <c r="A490" s="114"/>
      <c r="B490" s="115" t="s">
        <v>4</v>
      </c>
      <c r="C490" s="116" t="s">
        <v>5</v>
      </c>
      <c r="D490" s="117" t="s">
        <v>6</v>
      </c>
      <c r="E490" s="118"/>
      <c r="F490" s="101" t="s">
        <v>8</v>
      </c>
      <c r="G490" s="14" t="s">
        <v>9</v>
      </c>
      <c r="H490" s="102" t="s">
        <v>10</v>
      </c>
      <c r="I490" s="160" t="s">
        <v>11</v>
      </c>
      <c r="J490" s="119" t="s">
        <v>12</v>
      </c>
      <c r="K490" s="120" t="s">
        <v>13</v>
      </c>
    </row>
    <row r="491" spans="1:11" x14ac:dyDescent="0.25">
      <c r="A491" s="16" t="s">
        <v>1028</v>
      </c>
      <c r="B491" s="17" t="s">
        <v>1029</v>
      </c>
      <c r="C491" s="18" t="s">
        <v>1030</v>
      </c>
      <c r="D491" s="19" t="s">
        <v>44</v>
      </c>
      <c r="E491" s="121">
        <v>2000</v>
      </c>
      <c r="F491" s="122">
        <v>39</v>
      </c>
      <c r="G491" s="123">
        <f t="shared" si="15"/>
        <v>78000</v>
      </c>
      <c r="H491" s="23"/>
      <c r="I491" s="162">
        <f t="shared" ref="I491:I533" si="16">E491-H491</f>
        <v>2000</v>
      </c>
      <c r="J491" s="124"/>
      <c r="K491" s="125" t="s">
        <v>80</v>
      </c>
    </row>
    <row r="492" spans="1:11" x14ac:dyDescent="0.25">
      <c r="A492" s="28" t="s">
        <v>1028</v>
      </c>
      <c r="B492" s="29" t="s">
        <v>1031</v>
      </c>
      <c r="C492" s="37" t="s">
        <v>1032</v>
      </c>
      <c r="D492" s="19" t="s">
        <v>44</v>
      </c>
      <c r="E492" s="32">
        <v>4000</v>
      </c>
      <c r="F492" s="126">
        <v>51.37</v>
      </c>
      <c r="G492" s="22">
        <f t="shared" si="15"/>
        <v>205480</v>
      </c>
      <c r="H492" s="25"/>
      <c r="I492" s="163">
        <f t="shared" si="16"/>
        <v>4000</v>
      </c>
      <c r="J492" s="127" t="s">
        <v>1033</v>
      </c>
      <c r="K492" s="128"/>
    </row>
    <row r="493" spans="1:11" x14ac:dyDescent="0.25">
      <c r="A493" s="28" t="s">
        <v>1028</v>
      </c>
      <c r="B493" s="29" t="s">
        <v>1034</v>
      </c>
      <c r="C493" s="37" t="s">
        <v>1035</v>
      </c>
      <c r="D493" s="19" t="s">
        <v>44</v>
      </c>
      <c r="E493" s="32">
        <v>720</v>
      </c>
      <c r="F493" s="129">
        <v>90.11</v>
      </c>
      <c r="G493" s="22">
        <f t="shared" si="15"/>
        <v>64879.199999999997</v>
      </c>
      <c r="H493" s="25"/>
      <c r="I493" s="163">
        <f t="shared" si="16"/>
        <v>720</v>
      </c>
      <c r="J493" s="127" t="s">
        <v>1033</v>
      </c>
      <c r="K493" s="128"/>
    </row>
    <row r="494" spans="1:11" x14ac:dyDescent="0.25">
      <c r="A494" s="28" t="s">
        <v>1028</v>
      </c>
      <c r="B494" s="29" t="s">
        <v>1036</v>
      </c>
      <c r="C494" s="37" t="s">
        <v>1037</v>
      </c>
      <c r="D494" s="19" t="s">
        <v>44</v>
      </c>
      <c r="E494" s="32">
        <v>1440</v>
      </c>
      <c r="F494" s="129">
        <v>95.98</v>
      </c>
      <c r="G494" s="22">
        <f t="shared" si="15"/>
        <v>138211.20000000001</v>
      </c>
      <c r="H494" s="25"/>
      <c r="I494" s="163">
        <f t="shared" si="16"/>
        <v>1440</v>
      </c>
      <c r="J494" s="127" t="s">
        <v>1038</v>
      </c>
      <c r="K494" s="128"/>
    </row>
    <row r="495" spans="1:11" x14ac:dyDescent="0.25">
      <c r="A495" s="28" t="s">
        <v>1028</v>
      </c>
      <c r="B495" s="130" t="s">
        <v>1039</v>
      </c>
      <c r="C495" s="37" t="s">
        <v>1040</v>
      </c>
      <c r="D495" s="131" t="s">
        <v>44</v>
      </c>
      <c r="E495" s="132">
        <v>1320</v>
      </c>
      <c r="F495" s="129">
        <v>102.74</v>
      </c>
      <c r="G495" s="22">
        <f t="shared" si="15"/>
        <v>135616.79999999999</v>
      </c>
      <c r="H495" s="25"/>
      <c r="I495" s="163">
        <f t="shared" si="16"/>
        <v>1320</v>
      </c>
      <c r="J495" s="127" t="s">
        <v>1038</v>
      </c>
      <c r="K495" s="128"/>
    </row>
    <row r="496" spans="1:11" x14ac:dyDescent="0.25">
      <c r="A496" s="28" t="s">
        <v>1028</v>
      </c>
      <c r="B496" s="29" t="s">
        <v>1041</v>
      </c>
      <c r="C496" s="37" t="s">
        <v>1042</v>
      </c>
      <c r="D496" s="19" t="s">
        <v>44</v>
      </c>
      <c r="E496" s="32">
        <v>7420</v>
      </c>
      <c r="F496" s="126">
        <v>31</v>
      </c>
      <c r="G496" s="22">
        <f t="shared" si="15"/>
        <v>230020</v>
      </c>
      <c r="H496" s="25"/>
      <c r="I496" s="163">
        <f t="shared" si="16"/>
        <v>7420</v>
      </c>
      <c r="J496" s="127"/>
      <c r="K496" s="128" t="s">
        <v>80</v>
      </c>
    </row>
    <row r="497" spans="1:33" x14ac:dyDescent="0.25">
      <c r="A497" s="28" t="s">
        <v>1028</v>
      </c>
      <c r="B497" s="130" t="s">
        <v>1043</v>
      </c>
      <c r="C497" s="37" t="s">
        <v>1044</v>
      </c>
      <c r="D497" s="131" t="s">
        <v>44</v>
      </c>
      <c r="E497" s="132">
        <v>3620</v>
      </c>
      <c r="F497" s="129">
        <v>69.599999999999994</v>
      </c>
      <c r="G497" s="22">
        <f t="shared" si="15"/>
        <v>251951.99999999997</v>
      </c>
      <c r="H497" s="25"/>
      <c r="I497" s="163">
        <f t="shared" si="16"/>
        <v>3620</v>
      </c>
      <c r="J497" s="127" t="s">
        <v>1038</v>
      </c>
      <c r="K497" s="128"/>
    </row>
    <row r="498" spans="1:33" x14ac:dyDescent="0.25">
      <c r="A498" s="28" t="s">
        <v>1028</v>
      </c>
      <c r="B498" s="29" t="s">
        <v>1045</v>
      </c>
      <c r="C498" s="37" t="s">
        <v>1046</v>
      </c>
      <c r="D498" s="19" t="s">
        <v>44</v>
      </c>
      <c r="E498" s="32">
        <v>1750</v>
      </c>
      <c r="F498" s="129">
        <v>109.62</v>
      </c>
      <c r="G498" s="22">
        <f t="shared" si="15"/>
        <v>191835</v>
      </c>
      <c r="H498" s="25"/>
      <c r="I498" s="163">
        <f t="shared" si="16"/>
        <v>1750</v>
      </c>
      <c r="J498" s="127" t="s">
        <v>67</v>
      </c>
      <c r="K498" s="128"/>
    </row>
    <row r="499" spans="1:33" x14ac:dyDescent="0.25">
      <c r="A499" s="28" t="s">
        <v>1028</v>
      </c>
      <c r="B499" s="29" t="s">
        <v>1047</v>
      </c>
      <c r="C499" s="37" t="s">
        <v>1048</v>
      </c>
      <c r="D499" s="19" t="s">
        <v>44</v>
      </c>
      <c r="E499" s="32">
        <v>2100</v>
      </c>
      <c r="F499" s="129">
        <v>63.09</v>
      </c>
      <c r="G499" s="22">
        <f t="shared" si="15"/>
        <v>132489</v>
      </c>
      <c r="H499" s="25"/>
      <c r="I499" s="163">
        <f t="shared" si="16"/>
        <v>2100</v>
      </c>
      <c r="J499" s="127" t="s">
        <v>67</v>
      </c>
      <c r="K499" s="128"/>
    </row>
    <row r="500" spans="1:33" x14ac:dyDescent="0.25">
      <c r="A500" s="28" t="s">
        <v>1028</v>
      </c>
      <c r="B500" s="29" t="s">
        <v>1049</v>
      </c>
      <c r="C500" s="37" t="s">
        <v>1050</v>
      </c>
      <c r="D500" s="19" t="s">
        <v>44</v>
      </c>
      <c r="E500" s="32">
        <v>6000</v>
      </c>
      <c r="F500" s="129">
        <v>18.8</v>
      </c>
      <c r="G500" s="22">
        <f t="shared" si="15"/>
        <v>112800</v>
      </c>
      <c r="H500" s="25"/>
      <c r="I500" s="163">
        <f t="shared" si="16"/>
        <v>6000</v>
      </c>
      <c r="J500" s="127"/>
      <c r="K500" s="128" t="s">
        <v>80</v>
      </c>
    </row>
    <row r="501" spans="1:33" x14ac:dyDescent="0.25">
      <c r="A501" s="28" t="s">
        <v>1028</v>
      </c>
      <c r="B501" s="29" t="s">
        <v>1051</v>
      </c>
      <c r="C501" s="37" t="s">
        <v>1052</v>
      </c>
      <c r="D501" s="19" t="s">
        <v>44</v>
      </c>
      <c r="E501" s="32">
        <v>8100</v>
      </c>
      <c r="F501" s="126">
        <v>18.8</v>
      </c>
      <c r="G501" s="22">
        <f t="shared" si="15"/>
        <v>152280</v>
      </c>
      <c r="H501" s="25"/>
      <c r="I501" s="163">
        <f t="shared" si="16"/>
        <v>8100</v>
      </c>
      <c r="J501" s="127" t="s">
        <v>1053</v>
      </c>
      <c r="K501" s="128"/>
    </row>
    <row r="502" spans="1:33" x14ac:dyDescent="0.25">
      <c r="A502" s="28" t="s">
        <v>1028</v>
      </c>
      <c r="B502" s="29" t="s">
        <v>1054</v>
      </c>
      <c r="C502" s="37" t="s">
        <v>1055</v>
      </c>
      <c r="D502" s="19" t="s">
        <v>44</v>
      </c>
      <c r="E502" s="32">
        <v>3060</v>
      </c>
      <c r="F502" s="126">
        <v>59.12</v>
      </c>
      <c r="G502" s="22">
        <f t="shared" si="15"/>
        <v>180907.19999999998</v>
      </c>
      <c r="H502" s="25"/>
      <c r="I502" s="163">
        <f t="shared" si="16"/>
        <v>3060</v>
      </c>
      <c r="J502" s="127" t="s">
        <v>1038</v>
      </c>
      <c r="K502" s="128"/>
    </row>
    <row r="503" spans="1:33" x14ac:dyDescent="0.25">
      <c r="A503" s="28" t="s">
        <v>1056</v>
      </c>
      <c r="B503" s="29" t="s">
        <v>1057</v>
      </c>
      <c r="C503" s="37" t="s">
        <v>1058</v>
      </c>
      <c r="D503" s="19" t="s">
        <v>44</v>
      </c>
      <c r="E503" s="32">
        <v>650</v>
      </c>
      <c r="F503" s="126">
        <v>9.58</v>
      </c>
      <c r="G503" s="22">
        <f t="shared" si="15"/>
        <v>6227</v>
      </c>
      <c r="H503" s="25"/>
      <c r="I503" s="163">
        <f t="shared" si="16"/>
        <v>650</v>
      </c>
      <c r="J503" s="127" t="s">
        <v>1059</v>
      </c>
      <c r="K503" s="128"/>
    </row>
    <row r="504" spans="1:33" x14ac:dyDescent="0.25">
      <c r="A504" s="28" t="s">
        <v>1056</v>
      </c>
      <c r="B504" s="29" t="s">
        <v>1060</v>
      </c>
      <c r="C504" s="37" t="s">
        <v>1061</v>
      </c>
      <c r="D504" s="19" t="s">
        <v>44</v>
      </c>
      <c r="E504" s="32">
        <v>22700</v>
      </c>
      <c r="F504" s="129">
        <v>6.5</v>
      </c>
      <c r="G504" s="22">
        <f t="shared" si="15"/>
        <v>147550</v>
      </c>
      <c r="H504" s="57"/>
      <c r="I504" s="163">
        <f t="shared" si="16"/>
        <v>22700</v>
      </c>
      <c r="J504" s="133" t="s">
        <v>723</v>
      </c>
      <c r="K504" s="128"/>
    </row>
    <row r="505" spans="1:33" x14ac:dyDescent="0.25">
      <c r="A505" s="28" t="s">
        <v>1056</v>
      </c>
      <c r="B505" s="29" t="s">
        <v>1062</v>
      </c>
      <c r="C505" s="37" t="s">
        <v>1063</v>
      </c>
      <c r="D505" s="19" t="s">
        <v>44</v>
      </c>
      <c r="E505" s="32">
        <v>4400</v>
      </c>
      <c r="F505" s="129">
        <v>7.6</v>
      </c>
      <c r="G505" s="22">
        <f t="shared" si="15"/>
        <v>33440</v>
      </c>
      <c r="H505" s="25"/>
      <c r="I505" s="163">
        <f t="shared" si="16"/>
        <v>4400</v>
      </c>
      <c r="J505" s="127" t="s">
        <v>1053</v>
      </c>
      <c r="K505" s="128"/>
    </row>
    <row r="506" spans="1:33" x14ac:dyDescent="0.25">
      <c r="A506" s="28" t="s">
        <v>1056</v>
      </c>
      <c r="B506" s="29" t="s">
        <v>1064</v>
      </c>
      <c r="C506" s="37" t="s">
        <v>1065</v>
      </c>
      <c r="D506" s="19" t="s">
        <v>44</v>
      </c>
      <c r="E506" s="32">
        <v>1000</v>
      </c>
      <c r="F506" s="129">
        <v>62.73</v>
      </c>
      <c r="G506" s="22">
        <f t="shared" si="15"/>
        <v>62730</v>
      </c>
      <c r="H506" s="25"/>
      <c r="I506" s="163">
        <f t="shared" si="16"/>
        <v>1000</v>
      </c>
      <c r="J506" s="127" t="s">
        <v>1066</v>
      </c>
      <c r="K506" s="128"/>
    </row>
    <row r="507" spans="1:33" x14ac:dyDescent="0.25">
      <c r="A507" s="28" t="s">
        <v>1056</v>
      </c>
      <c r="B507" s="29" t="s">
        <v>1067</v>
      </c>
      <c r="C507" s="37" t="s">
        <v>1068</v>
      </c>
      <c r="D507" s="19" t="s">
        <v>44</v>
      </c>
      <c r="E507" s="32">
        <v>6500</v>
      </c>
      <c r="F507" s="129">
        <v>7.56</v>
      </c>
      <c r="G507" s="22">
        <f t="shared" si="15"/>
        <v>49140</v>
      </c>
      <c r="H507" s="25"/>
      <c r="I507" s="163">
        <f t="shared" si="16"/>
        <v>6500</v>
      </c>
      <c r="J507" s="127" t="s">
        <v>314</v>
      </c>
      <c r="K507" s="128"/>
    </row>
    <row r="508" spans="1:33" s="53" customFormat="1" x14ac:dyDescent="0.25">
      <c r="A508" s="28" t="s">
        <v>1069</v>
      </c>
      <c r="B508" s="29" t="s">
        <v>1070</v>
      </c>
      <c r="C508" s="37" t="s">
        <v>1071</v>
      </c>
      <c r="D508" s="19" t="s">
        <v>44</v>
      </c>
      <c r="E508" s="27">
        <v>14</v>
      </c>
      <c r="F508" s="126">
        <v>8891.4500000000007</v>
      </c>
      <c r="G508" s="22">
        <f t="shared" si="15"/>
        <v>124480.30000000002</v>
      </c>
      <c r="H508" s="25"/>
      <c r="I508" s="163">
        <f t="shared" si="16"/>
        <v>14</v>
      </c>
      <c r="J508" s="127" t="s">
        <v>1072</v>
      </c>
      <c r="K508" s="128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x14ac:dyDescent="0.25">
      <c r="A509" s="28" t="s">
        <v>1069</v>
      </c>
      <c r="B509" s="29" t="s">
        <v>1073</v>
      </c>
      <c r="C509" s="37" t="s">
        <v>1074</v>
      </c>
      <c r="D509" s="19" t="s">
        <v>44</v>
      </c>
      <c r="E509" s="32">
        <v>500</v>
      </c>
      <c r="F509" s="58">
        <v>11.89</v>
      </c>
      <c r="G509" s="22">
        <f t="shared" si="15"/>
        <v>5945</v>
      </c>
      <c r="H509" s="25"/>
      <c r="I509" s="163">
        <f t="shared" si="16"/>
        <v>500</v>
      </c>
      <c r="J509" s="127"/>
      <c r="K509" s="128"/>
    </row>
    <row r="510" spans="1:33" x14ac:dyDescent="0.25">
      <c r="A510" s="28" t="s">
        <v>1069</v>
      </c>
      <c r="B510" s="29" t="s">
        <v>1075</v>
      </c>
      <c r="C510" s="37" t="s">
        <v>1076</v>
      </c>
      <c r="D510" s="19" t="s">
        <v>44</v>
      </c>
      <c r="E510" s="32"/>
      <c r="F510" s="129">
        <v>22.06</v>
      </c>
      <c r="G510" s="22">
        <f t="shared" si="15"/>
        <v>0</v>
      </c>
      <c r="H510" s="25"/>
      <c r="I510" s="163">
        <f t="shared" si="16"/>
        <v>0</v>
      </c>
      <c r="J510" s="127" t="s">
        <v>1077</v>
      </c>
      <c r="K510" s="128"/>
    </row>
    <row r="511" spans="1:33" x14ac:dyDescent="0.25">
      <c r="A511" s="28" t="s">
        <v>1069</v>
      </c>
      <c r="B511" s="29" t="s">
        <v>1078</v>
      </c>
      <c r="C511" s="37" t="s">
        <v>1079</v>
      </c>
      <c r="D511" s="19" t="s">
        <v>44</v>
      </c>
      <c r="E511" s="32">
        <v>18000</v>
      </c>
      <c r="F511" s="129">
        <v>11.9</v>
      </c>
      <c r="G511" s="22">
        <f t="shared" si="15"/>
        <v>214200</v>
      </c>
      <c r="H511" s="25"/>
      <c r="I511" s="163">
        <f t="shared" si="16"/>
        <v>18000</v>
      </c>
      <c r="J511" s="127"/>
      <c r="K511" s="128"/>
    </row>
    <row r="512" spans="1:33" x14ac:dyDescent="0.25">
      <c r="A512" s="28" t="s">
        <v>1069</v>
      </c>
      <c r="B512" s="29" t="s">
        <v>1080</v>
      </c>
      <c r="C512" s="37" t="s">
        <v>1081</v>
      </c>
      <c r="D512" s="19" t="s">
        <v>44</v>
      </c>
      <c r="E512" s="32">
        <v>22000</v>
      </c>
      <c r="F512" s="126">
        <v>8.3800000000000008</v>
      </c>
      <c r="G512" s="22">
        <f t="shared" si="15"/>
        <v>184360.00000000003</v>
      </c>
      <c r="H512" s="25"/>
      <c r="I512" s="163">
        <f t="shared" si="16"/>
        <v>22000</v>
      </c>
      <c r="J512" s="127"/>
      <c r="K512" s="128" t="s">
        <v>80</v>
      </c>
    </row>
    <row r="513" spans="1:11" x14ac:dyDescent="0.25">
      <c r="A513" s="28" t="s">
        <v>1069</v>
      </c>
      <c r="B513" s="29" t="s">
        <v>1082</v>
      </c>
      <c r="C513" s="37" t="s">
        <v>1083</v>
      </c>
      <c r="D513" s="19" t="s">
        <v>44</v>
      </c>
      <c r="E513" s="27">
        <v>5</v>
      </c>
      <c r="F513" s="129">
        <v>21255</v>
      </c>
      <c r="G513" s="22">
        <f t="shared" si="15"/>
        <v>106275</v>
      </c>
      <c r="H513" s="25"/>
      <c r="I513" s="163">
        <f t="shared" si="16"/>
        <v>5</v>
      </c>
      <c r="J513" s="127" t="s">
        <v>1084</v>
      </c>
      <c r="K513" s="128"/>
    </row>
    <row r="514" spans="1:11" x14ac:dyDescent="0.25">
      <c r="A514" s="28" t="s">
        <v>1069</v>
      </c>
      <c r="B514" s="29" t="s">
        <v>1085</v>
      </c>
      <c r="C514" s="37" t="s">
        <v>1086</v>
      </c>
      <c r="D514" s="19" t="s">
        <v>44</v>
      </c>
      <c r="E514" s="27">
        <v>1</v>
      </c>
      <c r="F514" s="129">
        <v>7852</v>
      </c>
      <c r="G514" s="22">
        <f t="shared" si="15"/>
        <v>7852</v>
      </c>
      <c r="H514" s="25"/>
      <c r="I514" s="163">
        <f t="shared" si="16"/>
        <v>1</v>
      </c>
      <c r="J514" s="127" t="s">
        <v>1084</v>
      </c>
      <c r="K514" s="128"/>
    </row>
    <row r="515" spans="1:11" x14ac:dyDescent="0.25">
      <c r="A515" s="28" t="s">
        <v>1069</v>
      </c>
      <c r="B515" s="29" t="s">
        <v>1087</v>
      </c>
      <c r="C515" s="37" t="s">
        <v>1088</v>
      </c>
      <c r="D515" s="19" t="s">
        <v>44</v>
      </c>
      <c r="E515" s="32">
        <v>2400</v>
      </c>
      <c r="F515" s="129">
        <v>18.920000000000002</v>
      </c>
      <c r="G515" s="22">
        <f t="shared" si="15"/>
        <v>45408.000000000007</v>
      </c>
      <c r="H515" s="25"/>
      <c r="I515" s="163">
        <f t="shared" si="16"/>
        <v>2400</v>
      </c>
      <c r="J515" s="127" t="s">
        <v>1089</v>
      </c>
      <c r="K515" s="128"/>
    </row>
    <row r="516" spans="1:11" x14ac:dyDescent="0.25">
      <c r="A516" s="28" t="s">
        <v>1069</v>
      </c>
      <c r="B516" s="29" t="s">
        <v>1090</v>
      </c>
      <c r="C516" s="37" t="s">
        <v>1091</v>
      </c>
      <c r="D516" s="19" t="s">
        <v>44</v>
      </c>
      <c r="E516" s="32">
        <v>5500</v>
      </c>
      <c r="F516" s="129">
        <v>21.09</v>
      </c>
      <c r="G516" s="22">
        <f t="shared" si="15"/>
        <v>115995</v>
      </c>
      <c r="H516" s="25"/>
      <c r="I516" s="163">
        <f t="shared" si="16"/>
        <v>5500</v>
      </c>
      <c r="J516" s="127" t="s">
        <v>1092</v>
      </c>
      <c r="K516" s="128"/>
    </row>
    <row r="517" spans="1:11" x14ac:dyDescent="0.25">
      <c r="A517" s="28" t="s">
        <v>1069</v>
      </c>
      <c r="B517" s="29" t="s">
        <v>1093</v>
      </c>
      <c r="C517" s="37" t="s">
        <v>1094</v>
      </c>
      <c r="D517" s="19" t="s">
        <v>44</v>
      </c>
      <c r="E517" s="32">
        <v>4100</v>
      </c>
      <c r="F517" s="129">
        <v>15.14</v>
      </c>
      <c r="G517" s="22">
        <f t="shared" si="15"/>
        <v>62074</v>
      </c>
      <c r="H517" s="25"/>
      <c r="I517" s="163">
        <f t="shared" si="16"/>
        <v>4100</v>
      </c>
      <c r="J517" s="127" t="s">
        <v>67</v>
      </c>
      <c r="K517" s="128"/>
    </row>
    <row r="518" spans="1:11" x14ac:dyDescent="0.25">
      <c r="A518" s="28" t="s">
        <v>1069</v>
      </c>
      <c r="B518" s="29" t="s">
        <v>1095</v>
      </c>
      <c r="C518" s="37" t="s">
        <v>1096</v>
      </c>
      <c r="D518" s="19" t="s">
        <v>44</v>
      </c>
      <c r="E518" s="32">
        <v>3900</v>
      </c>
      <c r="F518" s="126">
        <v>22.63</v>
      </c>
      <c r="G518" s="22">
        <f t="shared" si="15"/>
        <v>88257</v>
      </c>
      <c r="H518" s="25"/>
      <c r="I518" s="163">
        <f t="shared" si="16"/>
        <v>3900</v>
      </c>
      <c r="J518" s="127" t="s">
        <v>1084</v>
      </c>
      <c r="K518" s="128"/>
    </row>
    <row r="519" spans="1:11" x14ac:dyDescent="0.25">
      <c r="A519" s="28" t="s">
        <v>1069</v>
      </c>
      <c r="B519" s="29" t="s">
        <v>1097</v>
      </c>
      <c r="C519" s="37" t="s">
        <v>1098</v>
      </c>
      <c r="D519" s="19" t="s">
        <v>44</v>
      </c>
      <c r="E519" s="32">
        <v>5650</v>
      </c>
      <c r="F519" s="126">
        <v>15</v>
      </c>
      <c r="G519" s="22">
        <f t="shared" si="15"/>
        <v>84750</v>
      </c>
      <c r="H519" s="25"/>
      <c r="I519" s="163">
        <f t="shared" si="16"/>
        <v>5650</v>
      </c>
      <c r="J519" s="127" t="s">
        <v>1099</v>
      </c>
      <c r="K519" s="128"/>
    </row>
    <row r="520" spans="1:11" x14ac:dyDescent="0.25">
      <c r="A520" s="28" t="s">
        <v>1069</v>
      </c>
      <c r="B520" s="29" t="s">
        <v>1100</v>
      </c>
      <c r="C520" s="37" t="s">
        <v>1101</v>
      </c>
      <c r="D520" s="19" t="s">
        <v>44</v>
      </c>
      <c r="E520" s="27">
        <v>200</v>
      </c>
      <c r="F520" s="58">
        <v>150.32</v>
      </c>
      <c r="G520" s="22">
        <f t="shared" si="15"/>
        <v>30064</v>
      </c>
      <c r="H520" s="25"/>
      <c r="I520" s="163">
        <f t="shared" si="16"/>
        <v>200</v>
      </c>
      <c r="J520" s="127"/>
      <c r="K520" s="128"/>
    </row>
    <row r="521" spans="1:11" x14ac:dyDescent="0.25">
      <c r="A521" s="28" t="s">
        <v>1069</v>
      </c>
      <c r="B521" s="29" t="s">
        <v>1102</v>
      </c>
      <c r="C521" s="37" t="s">
        <v>1103</v>
      </c>
      <c r="D521" s="19" t="s">
        <v>44</v>
      </c>
      <c r="E521" s="27">
        <v>7</v>
      </c>
      <c r="F521" s="129">
        <v>13535</v>
      </c>
      <c r="G521" s="22">
        <f t="shared" si="15"/>
        <v>94745</v>
      </c>
      <c r="H521" s="25"/>
      <c r="I521" s="163">
        <f t="shared" si="16"/>
        <v>7</v>
      </c>
      <c r="J521" s="127" t="s">
        <v>246</v>
      </c>
      <c r="K521" s="128"/>
    </row>
    <row r="522" spans="1:11" x14ac:dyDescent="0.25">
      <c r="A522" s="28" t="s">
        <v>1069</v>
      </c>
      <c r="B522" s="29" t="s">
        <v>1104</v>
      </c>
      <c r="C522" s="37" t="s">
        <v>1105</v>
      </c>
      <c r="D522" s="19" t="s">
        <v>44</v>
      </c>
      <c r="E522" s="27">
        <v>4</v>
      </c>
      <c r="F522" s="129">
        <v>13535</v>
      </c>
      <c r="G522" s="22">
        <f t="shared" si="15"/>
        <v>54140</v>
      </c>
      <c r="H522" s="25"/>
      <c r="I522" s="163">
        <f t="shared" si="16"/>
        <v>4</v>
      </c>
      <c r="J522" s="127" t="s">
        <v>246</v>
      </c>
      <c r="K522" s="128"/>
    </row>
    <row r="523" spans="1:11" x14ac:dyDescent="0.25">
      <c r="A523" s="28" t="s">
        <v>1069</v>
      </c>
      <c r="B523" s="29" t="s">
        <v>1106</v>
      </c>
      <c r="C523" s="37" t="s">
        <v>1107</v>
      </c>
      <c r="D523" s="19" t="s">
        <v>44</v>
      </c>
      <c r="E523" s="32"/>
      <c r="F523" s="126">
        <v>3.4</v>
      </c>
      <c r="G523" s="22">
        <f t="shared" si="15"/>
        <v>0</v>
      </c>
      <c r="H523" s="57"/>
      <c r="I523" s="163">
        <f t="shared" si="16"/>
        <v>0</v>
      </c>
      <c r="J523" s="133" t="s">
        <v>723</v>
      </c>
      <c r="K523" s="128"/>
    </row>
    <row r="524" spans="1:11" x14ac:dyDescent="0.25">
      <c r="A524" s="28" t="s">
        <v>1069</v>
      </c>
      <c r="B524" s="29" t="s">
        <v>1108</v>
      </c>
      <c r="C524" s="37" t="s">
        <v>1109</v>
      </c>
      <c r="D524" s="19" t="s">
        <v>44</v>
      </c>
      <c r="E524" s="32">
        <v>69300</v>
      </c>
      <c r="F524" s="126">
        <v>3.9</v>
      </c>
      <c r="G524" s="22">
        <f t="shared" si="15"/>
        <v>270270</v>
      </c>
      <c r="H524" s="25"/>
      <c r="I524" s="163">
        <f t="shared" si="16"/>
        <v>69300</v>
      </c>
      <c r="J524" s="127"/>
      <c r="K524" s="128"/>
    </row>
    <row r="525" spans="1:11" x14ac:dyDescent="0.25">
      <c r="A525" s="28" t="s">
        <v>1069</v>
      </c>
      <c r="B525" s="29" t="s">
        <v>1110</v>
      </c>
      <c r="C525" s="37" t="s">
        <v>1111</v>
      </c>
      <c r="D525" s="19" t="s">
        <v>44</v>
      </c>
      <c r="E525" s="32"/>
      <c r="F525" s="126">
        <v>5.0999999999999996</v>
      </c>
      <c r="G525" s="22">
        <f t="shared" si="15"/>
        <v>0</v>
      </c>
      <c r="H525" s="25"/>
      <c r="I525" s="163">
        <f t="shared" si="16"/>
        <v>0</v>
      </c>
      <c r="J525" s="127"/>
      <c r="K525" s="128" t="s">
        <v>80</v>
      </c>
    </row>
    <row r="526" spans="1:11" x14ac:dyDescent="0.25">
      <c r="A526" s="28" t="s">
        <v>1112</v>
      </c>
      <c r="B526" s="29" t="s">
        <v>1113</v>
      </c>
      <c r="C526" s="37" t="s">
        <v>1114</v>
      </c>
      <c r="D526" s="19" t="s">
        <v>44</v>
      </c>
      <c r="E526" s="32">
        <v>15300</v>
      </c>
      <c r="F526" s="129">
        <v>21.64</v>
      </c>
      <c r="G526" s="22">
        <f t="shared" si="15"/>
        <v>331092</v>
      </c>
      <c r="H526" s="25"/>
      <c r="I526" s="163">
        <f t="shared" si="16"/>
        <v>15300</v>
      </c>
      <c r="J526" s="127" t="s">
        <v>673</v>
      </c>
      <c r="K526" s="128"/>
    </row>
    <row r="527" spans="1:11" x14ac:dyDescent="0.25">
      <c r="A527" s="28" t="s">
        <v>1112</v>
      </c>
      <c r="B527" s="29" t="s">
        <v>1115</v>
      </c>
      <c r="C527" s="37" t="s">
        <v>1116</v>
      </c>
      <c r="D527" s="19" t="s">
        <v>44</v>
      </c>
      <c r="E527" s="32">
        <v>1534</v>
      </c>
      <c r="F527" s="129">
        <v>41.1</v>
      </c>
      <c r="G527" s="22">
        <f t="shared" ref="G527:G533" si="17">E527*F527</f>
        <v>63047.4</v>
      </c>
      <c r="H527" s="25"/>
      <c r="I527" s="163">
        <f t="shared" si="16"/>
        <v>1534</v>
      </c>
      <c r="J527" s="127" t="s">
        <v>1117</v>
      </c>
      <c r="K527" s="128"/>
    </row>
    <row r="528" spans="1:11" x14ac:dyDescent="0.25">
      <c r="A528" s="28" t="s">
        <v>1112</v>
      </c>
      <c r="B528" s="29" t="s">
        <v>1118</v>
      </c>
      <c r="C528" s="37" t="s">
        <v>1119</v>
      </c>
      <c r="D528" s="19" t="s">
        <v>44</v>
      </c>
      <c r="E528" s="32">
        <v>8800</v>
      </c>
      <c r="F528" s="129">
        <v>28.39</v>
      </c>
      <c r="G528" s="22">
        <f t="shared" si="17"/>
        <v>249832</v>
      </c>
      <c r="H528" s="25"/>
      <c r="I528" s="163">
        <f t="shared" si="16"/>
        <v>8800</v>
      </c>
      <c r="J528" s="127" t="s">
        <v>1053</v>
      </c>
      <c r="K528" s="128"/>
    </row>
    <row r="529" spans="1:11" x14ac:dyDescent="0.25">
      <c r="A529" s="28" t="s">
        <v>1112</v>
      </c>
      <c r="B529" s="29" t="s">
        <v>1120</v>
      </c>
      <c r="C529" s="37" t="s">
        <v>1121</v>
      </c>
      <c r="D529" s="19" t="s">
        <v>44</v>
      </c>
      <c r="E529" s="32">
        <v>7260</v>
      </c>
      <c r="F529" s="126">
        <v>16.899999999999999</v>
      </c>
      <c r="G529" s="22">
        <f t="shared" si="17"/>
        <v>122693.99999999999</v>
      </c>
      <c r="H529" s="57"/>
      <c r="I529" s="163">
        <f t="shared" si="16"/>
        <v>7260</v>
      </c>
      <c r="J529" s="133" t="s">
        <v>1122</v>
      </c>
      <c r="K529" s="128"/>
    </row>
    <row r="530" spans="1:11" x14ac:dyDescent="0.25">
      <c r="A530" s="28" t="s">
        <v>1112</v>
      </c>
      <c r="B530" s="29" t="s">
        <v>1123</v>
      </c>
      <c r="C530" s="37" t="s">
        <v>1124</v>
      </c>
      <c r="D530" s="19" t="s">
        <v>44</v>
      </c>
      <c r="E530" s="32">
        <v>2000</v>
      </c>
      <c r="F530" s="58">
        <v>38</v>
      </c>
      <c r="G530" s="22">
        <f t="shared" si="17"/>
        <v>76000</v>
      </c>
      <c r="H530" s="57"/>
      <c r="I530" s="163">
        <f t="shared" si="16"/>
        <v>2000</v>
      </c>
      <c r="J530" s="133"/>
      <c r="K530" s="128"/>
    </row>
    <row r="531" spans="1:11" x14ac:dyDescent="0.25">
      <c r="A531" s="28" t="s">
        <v>1112</v>
      </c>
      <c r="B531" s="29" t="s">
        <v>1125</v>
      </c>
      <c r="C531" s="37" t="s">
        <v>1126</v>
      </c>
      <c r="D531" s="19" t="s">
        <v>44</v>
      </c>
      <c r="E531" s="32"/>
      <c r="F531" s="58">
        <v>18.399999999999999</v>
      </c>
      <c r="G531" s="22">
        <f t="shared" si="17"/>
        <v>0</v>
      </c>
      <c r="H531" s="57"/>
      <c r="I531" s="163">
        <f t="shared" si="16"/>
        <v>0</v>
      </c>
      <c r="J531" s="133"/>
      <c r="K531" s="128"/>
    </row>
    <row r="532" spans="1:11" x14ac:dyDescent="0.25">
      <c r="A532" s="28" t="s">
        <v>1127</v>
      </c>
      <c r="B532" s="29" t="s">
        <v>1128</v>
      </c>
      <c r="C532" s="37" t="s">
        <v>1129</v>
      </c>
      <c r="D532" s="19" t="s">
        <v>44</v>
      </c>
      <c r="E532" s="32">
        <v>3300</v>
      </c>
      <c r="F532" s="129">
        <v>20.92</v>
      </c>
      <c r="G532" s="22">
        <f t="shared" si="17"/>
        <v>69036</v>
      </c>
      <c r="H532" s="25"/>
      <c r="I532" s="163">
        <f t="shared" si="16"/>
        <v>3300</v>
      </c>
      <c r="J532" s="127" t="s">
        <v>1130</v>
      </c>
      <c r="K532" s="128"/>
    </row>
    <row r="533" spans="1:11" ht="15.75" thickBot="1" x14ac:dyDescent="0.3">
      <c r="A533" s="134" t="s">
        <v>1127</v>
      </c>
      <c r="B533" s="93" t="s">
        <v>1131</v>
      </c>
      <c r="C533" s="135" t="s">
        <v>1132</v>
      </c>
      <c r="D533" s="94" t="s">
        <v>44</v>
      </c>
      <c r="E533" s="136">
        <v>1100</v>
      </c>
      <c r="F533" s="137">
        <v>32.43</v>
      </c>
      <c r="G533" s="138">
        <f t="shared" si="17"/>
        <v>35673</v>
      </c>
      <c r="H533" s="95"/>
      <c r="I533" s="164">
        <f t="shared" si="16"/>
        <v>1100</v>
      </c>
      <c r="J533" s="139" t="s">
        <v>1133</v>
      </c>
      <c r="K533" s="140"/>
    </row>
    <row r="534" spans="1:11" ht="13.9" customHeight="1" x14ac:dyDescent="0.25"/>
    <row r="535" spans="1:11" x14ac:dyDescent="0.25">
      <c r="F535" s="58" t="s">
        <v>1134</v>
      </c>
      <c r="G535" s="141">
        <f>SUM(G7:G533)</f>
        <v>38224613.115936495</v>
      </c>
    </row>
    <row r="539" spans="1:11" x14ac:dyDescent="0.25">
      <c r="B539" s="142" t="s">
        <v>1194</v>
      </c>
      <c r="C539" s="1"/>
      <c r="D539" s="143"/>
      <c r="E539" s="1"/>
      <c r="H539" s="144"/>
    </row>
    <row r="540" spans="1:11" x14ac:dyDescent="0.25">
      <c r="B540" s="1"/>
      <c r="C540" s="1"/>
      <c r="D540" s="143"/>
      <c r="E540" s="145"/>
    </row>
    <row r="541" spans="1:11" x14ac:dyDescent="0.25">
      <c r="B541" s="146" t="s">
        <v>654</v>
      </c>
      <c r="C541" s="147"/>
      <c r="D541" s="148"/>
      <c r="E541" s="149">
        <f>SUMIF(A$2:A$1134,"Huevos",G$2:G$1134)</f>
        <v>259200</v>
      </c>
    </row>
    <row r="542" spans="1:11" x14ac:dyDescent="0.25">
      <c r="B542" s="150" t="s">
        <v>1135</v>
      </c>
      <c r="C542" s="147"/>
      <c r="D542" s="148"/>
      <c r="E542" s="149">
        <f>SUMIF(A$2:A$1134,"Alim.congelados",G$2:G$1134)</f>
        <v>2566015.633012821</v>
      </c>
    </row>
    <row r="543" spans="1:11" x14ac:dyDescent="0.25">
      <c r="B543" s="146" t="s">
        <v>1136</v>
      </c>
      <c r="C543" s="147"/>
      <c r="D543" s="148"/>
      <c r="E543" s="149">
        <f>SUMIF(A$2:A$1134,"Helados y Pulpas",G$2:G$1134)+SUMIF(A$2:A$1134,"Pulpas",G$2:G$1134)</f>
        <v>0</v>
      </c>
    </row>
    <row r="544" spans="1:11" x14ac:dyDescent="0.25">
      <c r="B544" s="150" t="s">
        <v>1137</v>
      </c>
      <c r="C544" s="147"/>
      <c r="D544" s="148"/>
      <c r="E544" s="149">
        <f>SUMIF(A$2:A$1134,"Jugos Líquidos",G$2:G$1134)</f>
        <v>302927.05333333329</v>
      </c>
    </row>
    <row r="545" spans="2:5" x14ac:dyDescent="0.25">
      <c r="B545" s="146" t="s">
        <v>1138</v>
      </c>
      <c r="C545" s="147"/>
      <c r="D545" s="148"/>
      <c r="E545" s="149">
        <f>SUMIF(A$2:A$1134,"Agua con y sin sabor",G$2:G$1134)</f>
        <v>65499.504000000001</v>
      </c>
    </row>
    <row r="546" spans="2:5" x14ac:dyDescent="0.25">
      <c r="B546" s="150" t="s">
        <v>1139</v>
      </c>
      <c r="C546" s="147"/>
      <c r="D546" s="148"/>
      <c r="E546" s="149">
        <f>SUMIF(A$2:A$1134,"Bebidas",G$2:G$1134)</f>
        <v>2089786.068</v>
      </c>
    </row>
    <row r="547" spans="2:5" x14ac:dyDescent="0.25">
      <c r="B547" s="146" t="s">
        <v>1140</v>
      </c>
      <c r="C547" s="147"/>
      <c r="D547" s="148"/>
      <c r="E547" s="149">
        <f>SUMIF(A$2:A$1134,"Vino,licores y cerveza",G$2:G$1134)</f>
        <v>10367.82</v>
      </c>
    </row>
    <row r="548" spans="2:5" x14ac:dyDescent="0.25">
      <c r="B548" s="150" t="s">
        <v>1141</v>
      </c>
      <c r="C548" s="147"/>
      <c r="D548" s="148"/>
      <c r="E548" s="149">
        <f>SUMIF(A$2:A$1134,"Carne Vacuno",G$2:G$1134)</f>
        <v>1312457.8097549372</v>
      </c>
    </row>
    <row r="549" spans="2:5" x14ac:dyDescent="0.25">
      <c r="B549" s="146" t="s">
        <v>1142</v>
      </c>
      <c r="C549" s="147"/>
      <c r="D549" s="148"/>
      <c r="E549" s="149">
        <f>SUMIF(A$2:A$1134,"Carne de Cerdo",G$2:G$1134)</f>
        <v>1787913.3684123126</v>
      </c>
    </row>
    <row r="550" spans="2:5" x14ac:dyDescent="0.25">
      <c r="B550" s="150" t="s">
        <v>1143</v>
      </c>
      <c r="C550" s="147"/>
      <c r="D550" s="148"/>
      <c r="E550" s="149">
        <f>SUMIF(A$2:A$1134,"Carne Pollo",G$2:G$1134)</f>
        <v>1396407.8314812554</v>
      </c>
    </row>
    <row r="551" spans="2:5" x14ac:dyDescent="0.25">
      <c r="B551" s="146" t="s">
        <v>1144</v>
      </c>
      <c r="C551" s="147"/>
      <c r="D551" s="148"/>
      <c r="E551" s="149">
        <f>SUMIF(A$2:A$1134,"Carne de pavo",G$2:G$1134)</f>
        <v>0</v>
      </c>
    </row>
    <row r="552" spans="2:5" x14ac:dyDescent="0.25">
      <c r="B552" s="150" t="s">
        <v>1145</v>
      </c>
      <c r="C552" s="147"/>
      <c r="D552" s="148"/>
      <c r="E552" s="149">
        <f>SUMIF(A$2:A$1134,"Hamburguesa",G$2:G$1134)+SUMIF(A$2:A$1134,"Croquetas",G$2:G$1134)+SUMIF(A$2:A$1134,"Nughet de Pollo",G$2:G$1134)</f>
        <v>975022</v>
      </c>
    </row>
    <row r="553" spans="2:5" x14ac:dyDescent="0.25">
      <c r="B553" s="146" t="s">
        <v>1146</v>
      </c>
      <c r="C553" s="147"/>
      <c r="D553" s="148"/>
      <c r="E553" s="149">
        <f>SUMIF(A$2:A$1134,"Pescados y mariscos",G$2:G$1134)</f>
        <v>658546</v>
      </c>
    </row>
    <row r="554" spans="2:5" x14ac:dyDescent="0.25">
      <c r="B554" s="150" t="s">
        <v>1147</v>
      </c>
      <c r="C554" s="147"/>
      <c r="D554" s="148"/>
      <c r="E554" s="149">
        <f>SUMIF(A$2:A$1134,"Cecinas",G$2:G$1134)</f>
        <v>289248.65999999997</v>
      </c>
    </row>
    <row r="555" spans="2:5" x14ac:dyDescent="0.25">
      <c r="B555" s="146" t="s">
        <v>1148</v>
      </c>
      <c r="C555" s="147"/>
      <c r="D555" s="148"/>
      <c r="E555" s="149">
        <f>SUMIF(A$2:A$1134,"Embutidos",G$2:G$1134)</f>
        <v>83522.600000000006</v>
      </c>
    </row>
    <row r="556" spans="2:5" x14ac:dyDescent="0.25">
      <c r="B556" s="150" t="s">
        <v>1149</v>
      </c>
      <c r="C556" s="147"/>
      <c r="D556" s="148"/>
      <c r="E556" s="149">
        <f>SUMIF(A$2:A$1134,"Agua en bidones",G$2:G$1134)</f>
        <v>8800</v>
      </c>
    </row>
    <row r="557" spans="2:5" x14ac:dyDescent="0.25">
      <c r="B557" s="146" t="s">
        <v>1150</v>
      </c>
      <c r="C557" s="147"/>
      <c r="D557" s="148"/>
      <c r="E557" s="149">
        <f>SUMIF(A$2:A$1134,"Abarrotes Aceite",G$2:G$1134)</f>
        <v>126980</v>
      </c>
    </row>
    <row r="558" spans="2:5" x14ac:dyDescent="0.25">
      <c r="B558" s="150" t="s">
        <v>1151</v>
      </c>
      <c r="C558" s="147"/>
      <c r="D558" s="148"/>
      <c r="E558" s="149">
        <f>SUMIF(A$2:A$1134,"Abarrotes Farinaceos",G$2:G$1134)</f>
        <v>2406912.5192898302</v>
      </c>
    </row>
    <row r="559" spans="2:5" x14ac:dyDescent="0.25">
      <c r="B559" s="146" t="s">
        <v>1152</v>
      </c>
      <c r="C559" s="147"/>
      <c r="D559" s="148"/>
      <c r="E559" s="149">
        <f>SUMIF(A$2:A$1134,"Abarrotes Condimentos",G$2:G$1134)</f>
        <v>973095.86800000002</v>
      </c>
    </row>
    <row r="560" spans="2:5" x14ac:dyDescent="0.25">
      <c r="B560" s="150" t="s">
        <v>1153</v>
      </c>
      <c r="C560" s="147"/>
      <c r="D560" s="148"/>
      <c r="E560" s="149">
        <f>SUMIF(A$2:A$1134,"Abarrotes Sachet Portion",G$2:G$1134)</f>
        <v>37136.880052</v>
      </c>
    </row>
    <row r="561" spans="2:5" x14ac:dyDescent="0.25">
      <c r="B561" s="146" t="s">
        <v>1154</v>
      </c>
      <c r="C561" s="147"/>
      <c r="D561" s="148"/>
      <c r="E561" s="149">
        <f>SUMIF(A$2:A$1134,"Abarrotes Conservas Saladas",G$2:G$1134)</f>
        <v>622322.95199999993</v>
      </c>
    </row>
    <row r="562" spans="2:5" x14ac:dyDescent="0.25">
      <c r="B562" s="150" t="s">
        <v>1155</v>
      </c>
      <c r="C562" s="147"/>
      <c r="D562" s="148"/>
      <c r="E562" s="149">
        <f>SUMIF(A$2:A$1134,"Abarrotes Conservas Dulces",G$2:G$1134)</f>
        <v>212175</v>
      </c>
    </row>
    <row r="563" spans="2:5" x14ac:dyDescent="0.25">
      <c r="B563" s="146" t="s">
        <v>1156</v>
      </c>
      <c r="C563" s="147"/>
      <c r="D563" s="148"/>
      <c r="E563" s="149">
        <f>SUMIF(A$2:A$1134,"Abarrotes Cafetería",G$2:G$1134)</f>
        <v>1440321.08</v>
      </c>
    </row>
    <row r="564" spans="2:5" x14ac:dyDescent="0.25">
      <c r="B564" s="150" t="s">
        <v>1157</v>
      </c>
      <c r="C564" s="147"/>
      <c r="D564" s="148"/>
      <c r="E564" s="145">
        <f>SUMIF(A$2:A$1134,"Abarrotes Sopas y Cremas",G$2:G$1134)</f>
        <v>659124</v>
      </c>
    </row>
    <row r="565" spans="2:5" x14ac:dyDescent="0.25">
      <c r="B565" s="146" t="s">
        <v>1158</v>
      </c>
      <c r="C565" s="147"/>
      <c r="D565" s="148"/>
      <c r="E565" s="149">
        <f>SUMIF(A$2:A$1134,"Abarrotes Jugos en polvos y concentrados",G$2:G$1134)</f>
        <v>617100</v>
      </c>
    </row>
    <row r="566" spans="2:5" x14ac:dyDescent="0.25">
      <c r="B566" s="150" t="s">
        <v>1159</v>
      </c>
      <c r="C566" s="147"/>
      <c r="D566" s="148"/>
      <c r="E566" s="149">
        <f>SUMIF(A$2:A$1134,"Abarrotes Repostería",G$2:G$1134)</f>
        <v>865621</v>
      </c>
    </row>
    <row r="567" spans="2:5" x14ac:dyDescent="0.25">
      <c r="B567" s="146" t="s">
        <v>1160</v>
      </c>
      <c r="C567" s="147"/>
      <c r="D567" s="148"/>
      <c r="E567" s="145">
        <f>SUMIF(A$2:A$1134,"Abarrotes Postres en Polvo",G$2:G$1134)</f>
        <v>1135250</v>
      </c>
    </row>
    <row r="568" spans="2:5" x14ac:dyDescent="0.25">
      <c r="B568" s="150" t="s">
        <v>1161</v>
      </c>
      <c r="C568" s="147"/>
      <c r="D568" s="148"/>
      <c r="E568" s="149">
        <f>SUMIF(A$2:A$1134,"Frutas Frescas",G$2:G$1134)</f>
        <v>164307.28200000001</v>
      </c>
    </row>
    <row r="569" spans="2:5" x14ac:dyDescent="0.25">
      <c r="B569" s="151" t="s">
        <v>1162</v>
      </c>
      <c r="C569" s="147"/>
      <c r="D569" s="148"/>
      <c r="E569" s="149">
        <f>SUMIF(A$2:A$1134,"Verduras Frescas",G$2:G$1134)</f>
        <v>961441</v>
      </c>
    </row>
    <row r="570" spans="2:5" x14ac:dyDescent="0.25">
      <c r="B570" s="150" t="s">
        <v>1163</v>
      </c>
      <c r="C570" s="147"/>
      <c r="D570" s="148"/>
      <c r="E570" s="149">
        <f>SUMIF(A$2:A$1134,"Confites dulces",G$2:G$1134)</f>
        <v>2904166.3</v>
      </c>
    </row>
    <row r="571" spans="2:5" x14ac:dyDescent="0.25">
      <c r="B571" s="146" t="s">
        <v>1164</v>
      </c>
      <c r="C571" s="147"/>
      <c r="D571" s="148"/>
      <c r="E571" s="149">
        <f>SUMIF(A$2:A$1134,"Confites salados",G$2:G$1134)</f>
        <v>629545</v>
      </c>
    </row>
    <row r="572" spans="2:5" x14ac:dyDescent="0.25">
      <c r="B572" s="150" t="s">
        <v>1165</v>
      </c>
      <c r="C572" s="147"/>
      <c r="D572" s="148"/>
      <c r="E572" s="149">
        <f>SUMIF(A$2:A$1134,"Lácteos cremas",G$2:G$1134)</f>
        <v>112864</v>
      </c>
    </row>
    <row r="573" spans="2:5" x14ac:dyDescent="0.25">
      <c r="B573" s="146" t="s">
        <v>1166</v>
      </c>
      <c r="C573" s="147"/>
      <c r="D573" s="148"/>
      <c r="E573" s="149">
        <f>SUMIF(A$2:A$1134,"Lácteos Leches",G$2:G$1134)</f>
        <v>1170224</v>
      </c>
    </row>
    <row r="574" spans="2:5" x14ac:dyDescent="0.25">
      <c r="B574" s="150" t="s">
        <v>1167</v>
      </c>
      <c r="C574" s="147"/>
      <c r="D574" s="148"/>
      <c r="E574" s="149">
        <f>SUMIF(A$2:A$1134,"Lácteos Quesos",G$2:G$1134)</f>
        <v>349965</v>
      </c>
    </row>
    <row r="575" spans="2:5" x14ac:dyDescent="0.25">
      <c r="B575" s="146" t="s">
        <v>1168</v>
      </c>
      <c r="C575" s="147"/>
      <c r="D575" s="148"/>
      <c r="E575" s="149">
        <f>SUMIF(A$2:A$1134,"Lácteos Yogurt",G$2:G$1134)</f>
        <v>458065</v>
      </c>
    </row>
    <row r="576" spans="2:5" x14ac:dyDescent="0.25">
      <c r="B576" s="150" t="s">
        <v>1169</v>
      </c>
      <c r="C576" s="147"/>
      <c r="D576" s="148"/>
      <c r="E576" s="149">
        <f>SUMIF(A$2:A$1134,"Postres Listos",G$2:G$1134)</f>
        <v>0</v>
      </c>
    </row>
    <row r="577" spans="2:7" x14ac:dyDescent="0.25">
      <c r="B577" s="146" t="s">
        <v>1170</v>
      </c>
      <c r="C577" s="147"/>
      <c r="D577" s="148"/>
      <c r="E577" s="149">
        <f>SUMIF(A$2:A$1134,"Postres Repostería",G$2:G$1134)</f>
        <v>321385.75</v>
      </c>
    </row>
    <row r="578" spans="2:7" x14ac:dyDescent="0.25">
      <c r="B578" s="150" t="s">
        <v>1171</v>
      </c>
      <c r="C578" s="147"/>
      <c r="D578" s="148"/>
      <c r="E578" s="149">
        <f>SUMIF(A$2:A$1134,"Pan y materias primas",G$2:G$1134)</f>
        <v>1329315.79</v>
      </c>
    </row>
    <row r="579" spans="2:7" x14ac:dyDescent="0.25">
      <c r="B579" s="146" t="s">
        <v>1172</v>
      </c>
      <c r="C579" s="147"/>
      <c r="D579" s="148"/>
      <c r="E579" s="149">
        <f>SUMIF(A$2:A$1134,"Pan Elaborado",G$2:G$1134)</f>
        <v>689900.83360000001</v>
      </c>
    </row>
    <row r="580" spans="2:7" x14ac:dyDescent="0.25">
      <c r="B580" s="190" t="s">
        <v>1173</v>
      </c>
      <c r="C580" s="190"/>
      <c r="D580" s="191"/>
      <c r="E580" s="192">
        <v>0</v>
      </c>
    </row>
    <row r="581" spans="2:7" x14ac:dyDescent="0.25">
      <c r="B581" s="152" t="s">
        <v>1174</v>
      </c>
      <c r="C581" s="153"/>
      <c r="D581" s="154"/>
      <c r="E581" s="149">
        <f>SUMIF(A$2:A$1134,"Preparados",G$2:G$1134)</f>
        <v>0</v>
      </c>
    </row>
    <row r="582" spans="2:7" x14ac:dyDescent="0.25">
      <c r="B582" s="150" t="s">
        <v>1175</v>
      </c>
      <c r="C582" s="147"/>
      <c r="D582" s="148"/>
      <c r="E582" s="149">
        <f>SUMIF(A$2:A$1091,"Aseo General",G$2:G$1091)</f>
        <v>1717431.237</v>
      </c>
    </row>
    <row r="583" spans="2:7" x14ac:dyDescent="0.25">
      <c r="B583" s="146" t="s">
        <v>1176</v>
      </c>
      <c r="C583" s="147"/>
      <c r="D583" s="148"/>
      <c r="E583" s="149">
        <f>SUMIF(A$2:A$1091,"Aseo desinfección",G$2:G$1091)</f>
        <v>1904501.176</v>
      </c>
    </row>
    <row r="584" spans="2:7" x14ac:dyDescent="0.25">
      <c r="B584" s="150" t="s">
        <v>1177</v>
      </c>
      <c r="C584" s="147"/>
      <c r="D584" s="148"/>
      <c r="E584" s="149">
        <f>SUMIF(A$2:A$1091,"Desechable contenedores",G$2:G$1091)</f>
        <v>1874470.4</v>
      </c>
    </row>
    <row r="585" spans="2:7" x14ac:dyDescent="0.25">
      <c r="B585" s="146" t="s">
        <v>1178</v>
      </c>
      <c r="C585" s="147"/>
      <c r="D585" s="148"/>
      <c r="E585" s="149">
        <f>SUMIF(A$2:A$1091,"Desechable cubiertos",G$2:G$1091)</f>
        <v>299087</v>
      </c>
    </row>
    <row r="586" spans="2:7" x14ac:dyDescent="0.25">
      <c r="B586" s="150" t="s">
        <v>1179</v>
      </c>
      <c r="C586" s="147"/>
      <c r="D586" s="148"/>
      <c r="E586" s="149">
        <f>SUMIF(A$2:A$1091,"Desechable vasos",G$2:G$1091)</f>
        <v>104709</v>
      </c>
    </row>
    <row r="587" spans="2:7" x14ac:dyDescent="0.25">
      <c r="B587" s="146" t="s">
        <v>1180</v>
      </c>
      <c r="C587" s="147"/>
      <c r="D587" s="148"/>
      <c r="E587" s="149">
        <f>SUMIF(A$2:A$1091,"Desechable pocillos",G$2:G$1091)</f>
        <v>842665.4</v>
      </c>
    </row>
    <row r="588" spans="2:7" x14ac:dyDescent="0.25">
      <c r="B588" s="150" t="s">
        <v>1181</v>
      </c>
      <c r="C588" s="147"/>
      <c r="D588" s="148"/>
      <c r="E588" s="149">
        <f>SUMIF(A$2:A$1091,"Desechable general",G$2:G$1091)</f>
        <v>1488815.3</v>
      </c>
    </row>
    <row r="589" spans="2:7" ht="15.75" thickBot="1" x14ac:dyDescent="0.3">
      <c r="B589" s="1"/>
      <c r="C589" s="1"/>
      <c r="D589" s="143"/>
      <c r="E589" s="145"/>
    </row>
    <row r="590" spans="2:7" ht="15.75" thickBot="1" x14ac:dyDescent="0.3">
      <c r="B590" s="1"/>
      <c r="C590" s="1"/>
      <c r="D590" s="143"/>
      <c r="E590" s="179">
        <f>SUM(E541:E589)</f>
        <v>38224613.115936488</v>
      </c>
    </row>
    <row r="591" spans="2:7" x14ac:dyDescent="0.25">
      <c r="B591" s="1"/>
      <c r="C591" s="1"/>
      <c r="D591" s="143"/>
      <c r="E591" s="155"/>
      <c r="F591" s="156"/>
      <c r="G591" s="157"/>
    </row>
  </sheetData>
  <mergeCells count="12">
    <mergeCell ref="B323:E323"/>
    <mergeCell ref="B48:E48"/>
    <mergeCell ref="B87:E87"/>
    <mergeCell ref="B102:E102"/>
    <mergeCell ref="B107:E107"/>
    <mergeCell ref="B116:E116"/>
    <mergeCell ref="B131:E131"/>
    <mergeCell ref="B137:E137"/>
    <mergeCell ref="A154:E154"/>
    <mergeCell ref="B167:E167"/>
    <mergeCell ref="B172:E172"/>
    <mergeCell ref="B178:E178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FUENTES</dc:creator>
  <cp:lastModifiedBy>LORENA FUENTES</cp:lastModifiedBy>
  <dcterms:created xsi:type="dcterms:W3CDTF">2015-06-05T18:19:34Z</dcterms:created>
  <dcterms:modified xsi:type="dcterms:W3CDTF">2026-06-30T21:03:25Z</dcterms:modified>
</cp:coreProperties>
</file>